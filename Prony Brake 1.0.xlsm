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6.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430" codeName="{C5BBEA04-B48B-DB03-FC8F-E18A6752861A}"/>
  <workbookPr codeName="ThisWorkbook"/>
  <mc:AlternateContent xmlns:mc="http://schemas.openxmlformats.org/markup-compatibility/2006">
    <mc:Choice Requires="x15">
      <x15ac:absPath xmlns:x15ac="http://schemas.microsoft.com/office/spreadsheetml/2010/11/ac" url="https://d.docs.live.net/e4e0c712bb51be7f/Documents/JD/Prony Brake/"/>
    </mc:Choice>
  </mc:AlternateContent>
  <xr:revisionPtr revIDLastSave="16" documentId="8_{78CDCE9D-A34A-4C2A-8CB2-5A06D7EF0D77}" xr6:coauthVersionLast="47" xr6:coauthVersionMax="47" xr10:uidLastSave="{F15C70F4-62C5-4262-A7A4-174245D4C1AA}"/>
  <bookViews>
    <workbookView xWindow="-120" yWindow="-120" windowWidth="38640" windowHeight="15840" activeTab="2" xr2:uid="{0129B4C5-7000-4747-85F0-33421B53D7E5}"/>
  </bookViews>
  <sheets>
    <sheet name="Calculations" sheetId="1" r:id="rId1"/>
    <sheet name="Setup" sheetId="2" r:id="rId2"/>
    <sheet name="Database" sheetId="24" r:id="rId3"/>
    <sheet name="Nebraska Test Database" sheetId="28" r:id="rId4"/>
    <sheet name="Export Chart" sheetId="26" r:id="rId5"/>
    <sheet name="HP-Hrs Gal" sheetId="5" r:id="rId6"/>
  </sheets>
  <functionGroups builtInGroupCount="19"/>
  <definedNames>
    <definedName name="_xlnm._FilterDatabase" localSheetId="0" hidden="1">Calculations!$E$2:$E$20</definedName>
    <definedName name="_xlnm._FilterDatabase" localSheetId="2" hidden="1">Database!$A$1:$M$77</definedName>
    <definedName name="Slicer_Make">#N/A</definedName>
    <definedName name="Slicer_Model">#N/A</definedName>
    <definedName name="Z_A5B2F500_5FB1_4588_8EBF_246FB800D862_.wvu.FilterData" localSheetId="0" hidden="1">Calculations!$E$2:$E$20</definedName>
  </definedNames>
  <calcPr calcId="191029"/>
  <customWorkbookViews>
    <customWorkbookView name="ktc-lab - Personal View" guid="{A5B2F500-5FB1-4588-8EBF-246FB800D862}" mergeInterval="0" personalView="1" xWindow="960" windowWidth="960" windowHeight="1160" activeSheetId="1"/>
  </customWorkbookViews>
  <fileRecoveryPr autoRecover="0"/>
  <extLst>
    <ext xmlns:x14="http://schemas.microsoft.com/office/spreadsheetml/2009/9/main" uri="{79F54976-1DA5-4618-B147-4CDE4B953A38}">
      <x14:workbookPr defaultImageDpi="32767"/>
    </ext>
    <ext xmlns:x15="http://schemas.microsoft.com/office/spreadsheetml/2010/11/main" uri="{46BE6895-7355-4a93-B00E-2C351335B9C9}">
      <x15:slicerCaches xmlns:x14="http://schemas.microsoft.com/office/spreadsheetml/2009/9/main">
        <x14:slicerCache r:id="rId7"/>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44" i="1" l="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AD2" i="1"/>
  <c r="E9" i="2" l="1"/>
  <c r="E7" i="2"/>
  <c r="I42" i="2" s="1"/>
  <c r="G6" i="2"/>
  <c r="E49" i="1"/>
  <c r="E55" i="1"/>
  <c r="E59"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I38" i="1"/>
  <c r="I39" i="1"/>
  <c r="G24" i="1"/>
  <c r="E2" i="5"/>
  <c r="D2" i="5"/>
  <c r="F2" i="5"/>
  <c r="I37" i="1"/>
  <c r="I36" i="1"/>
  <c r="I35" i="1"/>
  <c r="I34" i="1"/>
  <c r="I33" i="1"/>
  <c r="E33" i="1" l="1"/>
  <c r="E62" i="1"/>
  <c r="E45" i="1"/>
  <c r="E58" i="1"/>
  <c r="E54" i="1"/>
  <c r="E29" i="1"/>
  <c r="E9" i="1"/>
  <c r="E61" i="1"/>
  <c r="E57" i="1"/>
  <c r="E53" i="1"/>
  <c r="E41" i="1"/>
  <c r="E25" i="1"/>
  <c r="E60" i="1"/>
  <c r="E56" i="1"/>
  <c r="E52" i="1"/>
  <c r="E37" i="1"/>
  <c r="E21" i="1"/>
  <c r="E44" i="1"/>
  <c r="E36" i="1"/>
  <c r="E20" i="1"/>
  <c r="E40" i="1"/>
  <c r="E32" i="1"/>
  <c r="E24" i="1"/>
  <c r="E51" i="1"/>
  <c r="E47" i="1"/>
  <c r="E43" i="1"/>
  <c r="E39" i="1"/>
  <c r="E35" i="1"/>
  <c r="E31" i="1"/>
  <c r="E27" i="1"/>
  <c r="E23" i="1"/>
  <c r="E19" i="1"/>
  <c r="E48" i="1"/>
  <c r="E28" i="1"/>
  <c r="E50" i="1"/>
  <c r="E46" i="1"/>
  <c r="E42" i="1"/>
  <c r="E38" i="1"/>
  <c r="E34" i="1"/>
  <c r="E30" i="1"/>
  <c r="E26" i="1"/>
  <c r="E22" i="1"/>
  <c r="E18" i="1"/>
  <c r="E16" i="1"/>
  <c r="E6" i="1"/>
  <c r="E11" i="1"/>
  <c r="E12" i="1"/>
  <c r="E2" i="1"/>
  <c r="E4" i="1"/>
  <c r="E5" i="1"/>
  <c r="E10" i="1"/>
  <c r="E7" i="1"/>
  <c r="E3" i="1"/>
  <c r="E8" i="1"/>
  <c r="E13" i="1"/>
  <c r="D11" i="2"/>
  <c r="E15" i="1"/>
  <c r="E14" i="1"/>
  <c r="E17" i="1"/>
  <c r="G27" i="1" l="1"/>
  <c r="G21" i="1"/>
  <c r="D3" i="1"/>
  <c r="D7" i="1"/>
  <c r="D11" i="1"/>
  <c r="D15" i="1"/>
  <c r="D19" i="1"/>
  <c r="D23" i="1"/>
  <c r="D27" i="1"/>
  <c r="D31" i="1"/>
  <c r="D35" i="1"/>
  <c r="D39" i="1"/>
  <c r="D43" i="1"/>
  <c r="C3" i="1"/>
  <c r="C7" i="1"/>
  <c r="C11" i="1"/>
  <c r="C15" i="1"/>
  <c r="C19" i="1"/>
  <c r="C23" i="1"/>
  <c r="C27" i="1"/>
  <c r="C31" i="1"/>
  <c r="C35" i="1"/>
  <c r="C39" i="1"/>
  <c r="C43" i="1"/>
  <c r="D4" i="1"/>
  <c r="D8" i="1"/>
  <c r="D12" i="1"/>
  <c r="D16" i="1"/>
  <c r="D20" i="1"/>
  <c r="D24" i="1"/>
  <c r="D28" i="1"/>
  <c r="D32" i="1"/>
  <c r="D36" i="1"/>
  <c r="D40" i="1"/>
  <c r="C4" i="1"/>
  <c r="C8" i="1"/>
  <c r="C12" i="1"/>
  <c r="C16" i="1"/>
  <c r="C20" i="1"/>
  <c r="C24" i="1"/>
  <c r="C28" i="1"/>
  <c r="C32" i="1"/>
  <c r="C36" i="1"/>
  <c r="C40" i="1"/>
  <c r="C2" i="1"/>
  <c r="D5" i="1"/>
  <c r="D9" i="1"/>
  <c r="D13" i="1"/>
  <c r="D17" i="1"/>
  <c r="D21" i="1"/>
  <c r="D25" i="1"/>
  <c r="D29" i="1"/>
  <c r="D33" i="1"/>
  <c r="D37" i="1"/>
  <c r="D41" i="1"/>
  <c r="C5" i="1"/>
  <c r="C9" i="1"/>
  <c r="C13" i="1"/>
  <c r="C17" i="1"/>
  <c r="C21" i="1"/>
  <c r="C25" i="1"/>
  <c r="C29" i="1"/>
  <c r="C33" i="1"/>
  <c r="C37" i="1"/>
  <c r="C41" i="1"/>
  <c r="D6" i="1"/>
  <c r="D10" i="1"/>
  <c r="D14" i="1"/>
  <c r="D18" i="1"/>
  <c r="D22" i="1"/>
  <c r="D26" i="1"/>
  <c r="D30" i="1"/>
  <c r="D34" i="1"/>
  <c r="D38" i="1"/>
  <c r="D42" i="1"/>
  <c r="D2" i="1"/>
  <c r="C6" i="1"/>
  <c r="C10" i="1"/>
  <c r="C14" i="1"/>
  <c r="C18" i="1"/>
  <c r="C22" i="1"/>
  <c r="C26" i="1"/>
  <c r="C30" i="1"/>
  <c r="C34" i="1"/>
  <c r="C38" i="1"/>
  <c r="C42" i="1"/>
  <c r="M48" i="1" l="1"/>
  <c r="G15" i="1"/>
  <c r="G17" i="1" s="1"/>
  <c r="H15" i="1"/>
  <c r="L48" i="1"/>
</calcChain>
</file>

<file path=xl/sharedStrings.xml><?xml version="1.0" encoding="utf-8"?>
<sst xmlns="http://schemas.openxmlformats.org/spreadsheetml/2006/main" count="2961" uniqueCount="1716">
  <si>
    <t>Brake RPM</t>
  </si>
  <si>
    <t>Force</t>
  </si>
  <si>
    <t>Horsepower</t>
  </si>
  <si>
    <t>Engine Torque</t>
  </si>
  <si>
    <t>Engine Speed</t>
  </si>
  <si>
    <t>Max HP</t>
  </si>
  <si>
    <t>Max Torque</t>
  </si>
  <si>
    <t>Nebraska Test Information</t>
  </si>
  <si>
    <t>Tractor</t>
  </si>
  <si>
    <t>Test No.</t>
  </si>
  <si>
    <t>Today's SAE J1349</t>
  </si>
  <si>
    <t>Year Tested</t>
  </si>
  <si>
    <t>Weather Correction Factor</t>
  </si>
  <si>
    <t>Fuel Tested</t>
  </si>
  <si>
    <t>Rated HP</t>
  </si>
  <si>
    <t>Currently Using:</t>
  </si>
  <si>
    <t>Rated Engine Speed</t>
  </si>
  <si>
    <t>Year</t>
  </si>
  <si>
    <t>Nebraska Test No.</t>
  </si>
  <si>
    <t>Model</t>
  </si>
  <si>
    <t>Fuel</t>
  </si>
  <si>
    <t>Belt Pulley Speed</t>
  </si>
  <si>
    <t>Belt Pulley Dia.</t>
  </si>
  <si>
    <t>HP-Hrs/Gal</t>
  </si>
  <si>
    <t>A</t>
  </si>
  <si>
    <t>G</t>
  </si>
  <si>
    <t>Enter 1 for Belt, 2 for PTO</t>
  </si>
  <si>
    <t>SAE J1349 Correction</t>
  </si>
  <si>
    <t>Temp (°F)</t>
  </si>
  <si>
    <t>Temp (°C)</t>
  </si>
  <si>
    <t>Over Speed Alert</t>
  </si>
  <si>
    <t>Pressure (inHg)</t>
  </si>
  <si>
    <t>Pressure (mB)</t>
  </si>
  <si>
    <t>Torque Multiplication Factor</t>
  </si>
  <si>
    <t>NATPA RPM Rules</t>
  </si>
  <si>
    <t>Div. 1: 100%</t>
  </si>
  <si>
    <t>Div. II-III: 110%</t>
  </si>
  <si>
    <t>Based on Ideal Weather: 77°F, 29.234 inHg</t>
  </si>
  <si>
    <t>Div. IV: 120%</t>
  </si>
  <si>
    <t>Div. V: 130%</t>
  </si>
  <si>
    <t>Yellow Cells are updated each run</t>
  </si>
  <si>
    <t>Blue Cells are calculations used elsewhere - DO NOT MODIFY</t>
  </si>
  <si>
    <t>Vapor Pressure (mb)</t>
  </si>
  <si>
    <t>Max HP (B)</t>
  </si>
  <si>
    <t>Rated HP (D)</t>
  </si>
  <si>
    <t>HP-Hrs/Gal (D)</t>
  </si>
  <si>
    <t>Waterloo Boy N</t>
  </si>
  <si>
    <t>K</t>
  </si>
  <si>
    <t>D</t>
  </si>
  <si>
    <t>GP</t>
  </si>
  <si>
    <t>DT</t>
  </si>
  <si>
    <t>B</t>
  </si>
  <si>
    <t>H</t>
  </si>
  <si>
    <t>L</t>
  </si>
  <si>
    <t>LA</t>
  </si>
  <si>
    <t>AR</t>
  </si>
  <si>
    <t>M</t>
  </si>
  <si>
    <t>R</t>
  </si>
  <si>
    <t>MT</t>
  </si>
  <si>
    <t>Fordson F</t>
  </si>
  <si>
    <t>9N/2N</t>
  </si>
  <si>
    <t>8N</t>
  </si>
  <si>
    <t>12-25</t>
  </si>
  <si>
    <t>26.24</t>
  </si>
  <si>
    <t>22-44</t>
  </si>
  <si>
    <t>46.04</t>
  </si>
  <si>
    <t>35-70</t>
  </si>
  <si>
    <t>12-20</t>
  </si>
  <si>
    <t>D 9-18 Universal</t>
  </si>
  <si>
    <t>40-65</t>
  </si>
  <si>
    <t>20-35</t>
  </si>
  <si>
    <t>A 17-30</t>
  </si>
  <si>
    <t>B 17-30</t>
  </si>
  <si>
    <t>TY 17-28</t>
  </si>
  <si>
    <t>AT 27-44</t>
  </si>
  <si>
    <t>FT 21-32</t>
  </si>
  <si>
    <t>27-42</t>
  </si>
  <si>
    <t>39-57</t>
  </si>
  <si>
    <t>KT 11-20</t>
  </si>
  <si>
    <t>MT Universal</t>
  </si>
  <si>
    <t>JT</t>
  </si>
  <si>
    <t>KTA</t>
  </si>
  <si>
    <t>MTA</t>
  </si>
  <si>
    <t>FTA</t>
  </si>
  <si>
    <t>ZT</t>
  </si>
  <si>
    <t>UTS</t>
  </si>
  <si>
    <t>GT / GTA / GTB</t>
  </si>
  <si>
    <t>UTU</t>
  </si>
  <si>
    <t>RTU</t>
  </si>
  <si>
    <t>ZTU</t>
  </si>
  <si>
    <t>U Standard</t>
  </si>
  <si>
    <t>Z</t>
  </si>
  <si>
    <t>BF</t>
  </si>
  <si>
    <t>UB</t>
  </si>
  <si>
    <t>U</t>
  </si>
  <si>
    <t>GB</t>
  </si>
  <si>
    <t>445 Universal</t>
  </si>
  <si>
    <t>445 Utility</t>
  </si>
  <si>
    <t>335</t>
  </si>
  <si>
    <t>5 Star</t>
  </si>
  <si>
    <t>Hart-Parr 15-30</t>
  </si>
  <si>
    <t>Hart-Parr 11-20</t>
  </si>
  <si>
    <t>Hart-Parr 20-40</t>
  </si>
  <si>
    <t>Hart-Parr E 16-30</t>
  </si>
  <si>
    <t>Hart-Parr E 12-24</t>
  </si>
  <si>
    <t>Hart-Parr 18-36</t>
  </si>
  <si>
    <t>Hart-Parr H 12-24</t>
  </si>
  <si>
    <t>Hart-Parr 28-50</t>
  </si>
  <si>
    <t>Hart-Parr 18-27</t>
  </si>
  <si>
    <t>Hart-Parr 18-28</t>
  </si>
  <si>
    <t>Hart-Parr 28-44</t>
  </si>
  <si>
    <t>90</t>
  </si>
  <si>
    <t>70 HC Rowcrop</t>
  </si>
  <si>
    <t>70 KD Rowcrop</t>
  </si>
  <si>
    <t>70 HC Standard</t>
  </si>
  <si>
    <t>70 KD Standard</t>
  </si>
  <si>
    <t>80 KD Rowcrop</t>
  </si>
  <si>
    <t>80 KD Standard</t>
  </si>
  <si>
    <t>80 HC Standard</t>
  </si>
  <si>
    <t>60 HC Rowcrop</t>
  </si>
  <si>
    <t>88 HC Rowcrop</t>
  </si>
  <si>
    <t>88 HC Standard</t>
  </si>
  <si>
    <t>77 HC Rowcrop</t>
  </si>
  <si>
    <t>77 HC Standard</t>
  </si>
  <si>
    <t>66 HC Rowcrop</t>
  </si>
  <si>
    <t>66 HC Standard</t>
  </si>
  <si>
    <t>HG</t>
  </si>
  <si>
    <t>DG</t>
  </si>
  <si>
    <t>DD</t>
  </si>
  <si>
    <t>88 Rowcrop</t>
  </si>
  <si>
    <t>99</t>
  </si>
  <si>
    <t>77 Rowcrop</t>
  </si>
  <si>
    <t>66 Rowcrop</t>
  </si>
  <si>
    <t>55 HC Super</t>
  </si>
  <si>
    <t>88 HC Super</t>
  </si>
  <si>
    <t>55 Super</t>
  </si>
  <si>
    <t>88 Super</t>
  </si>
  <si>
    <t>66 HC Super</t>
  </si>
  <si>
    <t>77 HC Super</t>
  </si>
  <si>
    <t>77 Super</t>
  </si>
  <si>
    <t>66 Super</t>
  </si>
  <si>
    <t>OC-12</t>
  </si>
  <si>
    <t>99 GM Super</t>
  </si>
  <si>
    <t>99 Super</t>
  </si>
  <si>
    <t>OC-15</t>
  </si>
  <si>
    <t>880</t>
  </si>
  <si>
    <t>770</t>
  </si>
  <si>
    <t>OC-4</t>
  </si>
  <si>
    <t>950</t>
  </si>
  <si>
    <t>990 GM</t>
  </si>
  <si>
    <t>995 GM Lugamatic</t>
  </si>
  <si>
    <t>550</t>
  </si>
  <si>
    <t>10-20 Titan</t>
  </si>
  <si>
    <t>15-30</t>
  </si>
  <si>
    <t>8-16</t>
  </si>
  <si>
    <t>10-20</t>
  </si>
  <si>
    <t>Farmall</t>
  </si>
  <si>
    <t>20 Industrial</t>
  </si>
  <si>
    <t>F-30 Farmall</t>
  </si>
  <si>
    <t>W-30</t>
  </si>
  <si>
    <t>F-12 Farmall</t>
  </si>
  <si>
    <t>F-20 Farmall</t>
  </si>
  <si>
    <t>W-12</t>
  </si>
  <si>
    <t>WD-40</t>
  </si>
  <si>
    <t>WK-40</t>
  </si>
  <si>
    <t>F-14 Farmall</t>
  </si>
  <si>
    <t>M Farmall</t>
  </si>
  <si>
    <t>A Farmall</t>
  </si>
  <si>
    <t>B Farmall</t>
  </si>
  <si>
    <t>H Farmall</t>
  </si>
  <si>
    <t>W-4</t>
  </si>
  <si>
    <t>W-6</t>
  </si>
  <si>
    <t>WD-6</t>
  </si>
  <si>
    <t>MD Farmall</t>
  </si>
  <si>
    <t>W-9</t>
  </si>
  <si>
    <t>WD-9</t>
  </si>
  <si>
    <t>C Farmall</t>
  </si>
  <si>
    <t>Super C</t>
  </si>
  <si>
    <t>Super M</t>
  </si>
  <si>
    <t>Super W-6</t>
  </si>
  <si>
    <t>Super MD</t>
  </si>
  <si>
    <t>Super WD-6</t>
  </si>
  <si>
    <t>Super W-4</t>
  </si>
  <si>
    <t>Super H</t>
  </si>
  <si>
    <t>600</t>
  </si>
  <si>
    <t>650</t>
  </si>
  <si>
    <t>Super WD-9</t>
  </si>
  <si>
    <t>400</t>
  </si>
  <si>
    <t>W-450</t>
  </si>
  <si>
    <t>W-400</t>
  </si>
  <si>
    <t>200</t>
  </si>
  <si>
    <t>100</t>
  </si>
  <si>
    <t>300</t>
  </si>
  <si>
    <t>300 Utility</t>
  </si>
  <si>
    <t>Cub</t>
  </si>
  <si>
    <t>450</t>
  </si>
  <si>
    <t>350</t>
  </si>
  <si>
    <t>350 Utility</t>
  </si>
  <si>
    <t>230</t>
  </si>
  <si>
    <t>130</t>
  </si>
  <si>
    <t>330 Utility</t>
  </si>
  <si>
    <t>340</t>
  </si>
  <si>
    <t>140</t>
  </si>
  <si>
    <t>240</t>
  </si>
  <si>
    <t>240 Utility</t>
  </si>
  <si>
    <t>560</t>
  </si>
  <si>
    <t>460</t>
  </si>
  <si>
    <t>460 Utility</t>
  </si>
  <si>
    <t>660</t>
  </si>
  <si>
    <t>Oil Pull E 60-30</t>
  </si>
  <si>
    <t>Oil Pull H 16-30</t>
  </si>
  <si>
    <t>Oil Pull K 12-20</t>
  </si>
  <si>
    <t>Oil Pull G 20-40</t>
  </si>
  <si>
    <t>Oil Pull S 30-60</t>
  </si>
  <si>
    <t>Horsepower Made</t>
  </si>
  <si>
    <t>Time run (mins)</t>
  </si>
  <si>
    <t>Ounces Fuel</t>
  </si>
  <si>
    <t>Time Run (hrs)</t>
  </si>
  <si>
    <t>Gallons Fuel</t>
  </si>
  <si>
    <t xml:space="preserve"> </t>
  </si>
  <si>
    <t>A: Arm Length (ft)</t>
  </si>
  <si>
    <t>Machine Setup</t>
  </si>
  <si>
    <t>Green Cells are machine setup</t>
  </si>
  <si>
    <t>10-18</t>
  </si>
  <si>
    <t>15-27</t>
  </si>
  <si>
    <t>22-40</t>
  </si>
  <si>
    <t>20-40</t>
  </si>
  <si>
    <t>40-72</t>
  </si>
  <si>
    <t>25-45</t>
  </si>
  <si>
    <t>L 26-40</t>
  </si>
  <si>
    <t>K 18-32</t>
  </si>
  <si>
    <t>C 17-27</t>
  </si>
  <si>
    <t>CC</t>
  </si>
  <si>
    <t>RC</t>
  </si>
  <si>
    <t>DC</t>
  </si>
  <si>
    <t>VC</t>
  </si>
  <si>
    <t>SC</t>
  </si>
  <si>
    <t>VAC</t>
  </si>
  <si>
    <t>500</t>
  </si>
  <si>
    <t>401</t>
  </si>
  <si>
    <t>411</t>
  </si>
  <si>
    <t>311</t>
  </si>
  <si>
    <t>301</t>
  </si>
  <si>
    <t>300B</t>
  </si>
  <si>
    <t>511B</t>
  </si>
  <si>
    <t>711B</t>
  </si>
  <si>
    <t>811B</t>
  </si>
  <si>
    <t>801B</t>
  </si>
  <si>
    <t>611B</t>
  </si>
  <si>
    <t>211B</t>
  </si>
  <si>
    <t>411B</t>
  </si>
  <si>
    <t>900B</t>
  </si>
  <si>
    <t>701B</t>
  </si>
  <si>
    <t>940</t>
  </si>
  <si>
    <t>310C</t>
  </si>
  <si>
    <t>1010</t>
  </si>
  <si>
    <t>810</t>
  </si>
  <si>
    <t>610</t>
  </si>
  <si>
    <t>40</t>
  </si>
  <si>
    <t>50</t>
  </si>
  <si>
    <t>% Factory Rated HP</t>
  </si>
  <si>
    <t>C</t>
  </si>
  <si>
    <t>TE-20</t>
  </si>
  <si>
    <t>44</t>
  </si>
  <si>
    <t>Josh Wegner</t>
  </si>
  <si>
    <t>930</t>
  </si>
  <si>
    <t>5085E</t>
  </si>
  <si>
    <t>GVI</t>
  </si>
  <si>
    <t>1650</t>
  </si>
  <si>
    <t>New Fordson Major</t>
  </si>
  <si>
    <t>44 Special</t>
  </si>
  <si>
    <t>Current HP</t>
  </si>
  <si>
    <t>Current Torque</t>
  </si>
  <si>
    <t>COM Port</t>
  </si>
  <si>
    <t>Baud Rate</t>
  </si>
  <si>
    <t>180</t>
  </si>
  <si>
    <t>MF 35</t>
  </si>
  <si>
    <t>Date</t>
  </si>
  <si>
    <t>Name</t>
  </si>
  <si>
    <t>Make</t>
  </si>
  <si>
    <t>Nebraska Test #</t>
  </si>
  <si>
    <t>Pressure</t>
  </si>
  <si>
    <t>Temp</t>
  </si>
  <si>
    <t>Belt/PTO</t>
  </si>
  <si>
    <t>Run ID</t>
  </si>
  <si>
    <t>John Deere</t>
  </si>
  <si>
    <t>200;95</t>
  </si>
  <si>
    <t>219;94</t>
  </si>
  <si>
    <t>220;93</t>
  </si>
  <si>
    <t>221;92</t>
  </si>
  <si>
    <t>222;91</t>
  </si>
  <si>
    <t>223;93</t>
  </si>
  <si>
    <t>224;90</t>
  </si>
  <si>
    <t>225;85</t>
  </si>
  <si>
    <t>226;89</t>
  </si>
  <si>
    <t>227;88</t>
  </si>
  <si>
    <t>228;90</t>
  </si>
  <si>
    <t>229;89</t>
  </si>
  <si>
    <t>230;91</t>
  </si>
  <si>
    <t>231;87</t>
  </si>
  <si>
    <t>232;83</t>
  </si>
  <si>
    <t>233;82</t>
  </si>
  <si>
    <t>234;79</t>
  </si>
  <si>
    <t>235;77</t>
  </si>
  <si>
    <t>236;76</t>
  </si>
  <si>
    <t>237;80</t>
  </si>
  <si>
    <t>238;71</t>
  </si>
  <si>
    <t>239;70</t>
  </si>
  <si>
    <t>240;68</t>
  </si>
  <si>
    <t>241;66</t>
  </si>
  <si>
    <t>242;62</t>
  </si>
  <si>
    <t>243;60</t>
  </si>
  <si>
    <t>244;59</t>
  </si>
  <si>
    <t>245;58</t>
  </si>
  <si>
    <t>246;57</t>
  </si>
  <si>
    <t>250;55</t>
  </si>
  <si>
    <t>251;54</t>
  </si>
  <si>
    <t>252;50</t>
  </si>
  <si>
    <t>253;49</t>
  </si>
  <si>
    <t>91</t>
  </si>
  <si>
    <t>30.21</t>
  </si>
  <si>
    <t>Josh McCauley</t>
  </si>
  <si>
    <t>1937</t>
  </si>
  <si>
    <t>JD</t>
  </si>
  <si>
    <t>340;55</t>
  </si>
  <si>
    <t>330;66</t>
  </si>
  <si>
    <t>320;68</t>
  </si>
  <si>
    <t>310;72</t>
  </si>
  <si>
    <t>300;77</t>
  </si>
  <si>
    <t>289;78</t>
  </si>
  <si>
    <t>270;80</t>
  </si>
  <si>
    <t>260;80</t>
  </si>
  <si>
    <t>225;80</t>
  </si>
  <si>
    <t>AJ</t>
  </si>
  <si>
    <t>1954</t>
  </si>
  <si>
    <t>60</t>
  </si>
  <si>
    <t>360;53</t>
  </si>
  <si>
    <t>350;65</t>
  </si>
  <si>
    <t>340;66</t>
  </si>
  <si>
    <t>330;80</t>
  </si>
  <si>
    <t>300;83</t>
  </si>
  <si>
    <t>280;85</t>
  </si>
  <si>
    <t>Ralph Moore</t>
  </si>
  <si>
    <t>1949</t>
  </si>
  <si>
    <t>320;100</t>
  </si>
  <si>
    <t>310;118</t>
  </si>
  <si>
    <t>300;127</t>
  </si>
  <si>
    <t>290;129</t>
  </si>
  <si>
    <t>280;130</t>
  </si>
  <si>
    <t>270;138</t>
  </si>
  <si>
    <t>260;132</t>
  </si>
  <si>
    <t>315;112</t>
  </si>
  <si>
    <t>305;123</t>
  </si>
  <si>
    <t>240;122</t>
  </si>
  <si>
    <t>Dalton Moore</t>
  </si>
  <si>
    <t>1938</t>
  </si>
  <si>
    <t>230;65</t>
  </si>
  <si>
    <t>240;65</t>
  </si>
  <si>
    <t>250;65</t>
  </si>
  <si>
    <t>260;67</t>
  </si>
  <si>
    <t>270;63</t>
  </si>
  <si>
    <t>290;60</t>
  </si>
  <si>
    <t>305;60</t>
  </si>
  <si>
    <t>315;51</t>
  </si>
  <si>
    <t>Andrew Peterson</t>
  </si>
  <si>
    <t/>
  </si>
  <si>
    <t>Case</t>
  </si>
  <si>
    <t>350;62</t>
  </si>
  <si>
    <t>340;105</t>
  </si>
  <si>
    <t>335;120</t>
  </si>
  <si>
    <t>330;130</t>
  </si>
  <si>
    <t>325;154</t>
  </si>
  <si>
    <t>320;170</t>
  </si>
  <si>
    <t>315;180</t>
  </si>
  <si>
    <t>310;185</t>
  </si>
  <si>
    <t>300;185</t>
  </si>
  <si>
    <t>290;182</t>
  </si>
  <si>
    <t>260;155</t>
  </si>
  <si>
    <t>Caleb Jones</t>
  </si>
  <si>
    <t>1958</t>
  </si>
  <si>
    <t>620</t>
  </si>
  <si>
    <t>280;55</t>
  </si>
  <si>
    <t>270;72</t>
  </si>
  <si>
    <t>265;87</t>
  </si>
  <si>
    <t>260;92</t>
  </si>
  <si>
    <t>255;95</t>
  </si>
  <si>
    <t>250;92</t>
  </si>
  <si>
    <t>240;105</t>
  </si>
  <si>
    <t>230;100</t>
  </si>
  <si>
    <t>Chase Thompson</t>
  </si>
  <si>
    <t>325;53</t>
  </si>
  <si>
    <t>320;62</t>
  </si>
  <si>
    <t>315;76</t>
  </si>
  <si>
    <t>310;78</t>
  </si>
  <si>
    <t>305;81</t>
  </si>
  <si>
    <t>300;81</t>
  </si>
  <si>
    <t>290;82</t>
  </si>
  <si>
    <t>280;82</t>
  </si>
  <si>
    <t>270;84</t>
  </si>
  <si>
    <t>250;85</t>
  </si>
  <si>
    <t>Jim Brassfield</t>
  </si>
  <si>
    <t>1956</t>
  </si>
  <si>
    <t>420</t>
  </si>
  <si>
    <t>210;98</t>
  </si>
  <si>
    <t>220;96</t>
  </si>
  <si>
    <t>230;94</t>
  </si>
  <si>
    <t>240;90</t>
  </si>
  <si>
    <t>250;90</t>
  </si>
  <si>
    <t>260;90</t>
  </si>
  <si>
    <t>270;73</t>
  </si>
  <si>
    <t>275;63</t>
  </si>
  <si>
    <t>280;57</t>
  </si>
  <si>
    <t>88</t>
  </si>
  <si>
    <t>Patrick Feild</t>
  </si>
  <si>
    <t>1941</t>
  </si>
  <si>
    <t>260;135</t>
  </si>
  <si>
    <t>280;134</t>
  </si>
  <si>
    <t>290;130</t>
  </si>
  <si>
    <t>300;125</t>
  </si>
  <si>
    <t>310;115</t>
  </si>
  <si>
    <t>320;105</t>
  </si>
  <si>
    <t>330;88</t>
  </si>
  <si>
    <t>340;65</t>
  </si>
  <si>
    <t>350;54</t>
  </si>
  <si>
    <t>David Richardson</t>
  </si>
  <si>
    <t>320;52</t>
  </si>
  <si>
    <t>330;51</t>
  </si>
  <si>
    <t>340;52</t>
  </si>
  <si>
    <t>350;53</t>
  </si>
  <si>
    <t>360;51</t>
  </si>
  <si>
    <t>380;53</t>
  </si>
  <si>
    <t>390;54</t>
  </si>
  <si>
    <t>410;50</t>
  </si>
  <si>
    <t>420;43</t>
  </si>
  <si>
    <t>430;37</t>
  </si>
  <si>
    <t>Willie Carrier</t>
  </si>
  <si>
    <t>Allis-Chalmers</t>
  </si>
  <si>
    <t>WC</t>
  </si>
  <si>
    <t>290;78</t>
  </si>
  <si>
    <t>300;78</t>
  </si>
  <si>
    <t>320;70</t>
  </si>
  <si>
    <t>330;65</t>
  </si>
  <si>
    <t>340;54</t>
  </si>
  <si>
    <t>350;50</t>
  </si>
  <si>
    <t>360;44</t>
  </si>
  <si>
    <t>220;95</t>
  </si>
  <si>
    <t>250;91</t>
  </si>
  <si>
    <t>280;90</t>
  </si>
  <si>
    <t>300;88</t>
  </si>
  <si>
    <t>310;85</t>
  </si>
  <si>
    <t>320;83</t>
  </si>
  <si>
    <t>340;67</t>
  </si>
  <si>
    <t>350;63</t>
  </si>
  <si>
    <t>360;62</t>
  </si>
  <si>
    <t>370;58</t>
  </si>
  <si>
    <t>380;55</t>
  </si>
  <si>
    <t>390;50</t>
  </si>
  <si>
    <t>Hart-Parr</t>
  </si>
  <si>
    <t>18-36</t>
  </si>
  <si>
    <t>Rumely</t>
  </si>
  <si>
    <t>265;55</t>
  </si>
  <si>
    <t>255;93</t>
  </si>
  <si>
    <t>250;103</t>
  </si>
  <si>
    <t>245;105</t>
  </si>
  <si>
    <t>240;108</t>
  </si>
  <si>
    <t>235;102</t>
  </si>
  <si>
    <t>220;108</t>
  </si>
  <si>
    <t>210;108</t>
  </si>
  <si>
    <t>200;113</t>
  </si>
  <si>
    <t>6</t>
  </si>
  <si>
    <t>6A</t>
  </si>
  <si>
    <t>170;108</t>
  </si>
  <si>
    <t>190;112</t>
  </si>
  <si>
    <t>210;112</t>
  </si>
  <si>
    <t>225;112</t>
  </si>
  <si>
    <t>240;112</t>
  </si>
  <si>
    <t>250;107</t>
  </si>
  <si>
    <t>260;104</t>
  </si>
  <si>
    <t>270;96</t>
  </si>
  <si>
    <t>280;80</t>
  </si>
  <si>
    <t>290;62</t>
  </si>
  <si>
    <t>76</t>
  </si>
  <si>
    <t>30.13</t>
  </si>
  <si>
    <t>Mark Meyer</t>
  </si>
  <si>
    <t>250;95</t>
  </si>
  <si>
    <t>240;115</t>
  </si>
  <si>
    <t>235;135</t>
  </si>
  <si>
    <t>230;135</t>
  </si>
  <si>
    <t>210;140</t>
  </si>
  <si>
    <t>220;135</t>
  </si>
  <si>
    <t>200;140</t>
  </si>
  <si>
    <t>Jerry Meyer</t>
  </si>
  <si>
    <t>1942</t>
  </si>
  <si>
    <t>210;52</t>
  </si>
  <si>
    <t>230;55</t>
  </si>
  <si>
    <t>225;56</t>
  </si>
  <si>
    <t>210;56</t>
  </si>
  <si>
    <t>190;54</t>
  </si>
  <si>
    <t>170;57</t>
  </si>
  <si>
    <t>160;55</t>
  </si>
  <si>
    <t>574</t>
  </si>
  <si>
    <t>52.55</t>
  </si>
  <si>
    <t>73</t>
  </si>
  <si>
    <t>Tommy Klein</t>
  </si>
  <si>
    <t>1978</t>
  </si>
  <si>
    <t>IH</t>
  </si>
  <si>
    <t>574 Diesel</t>
  </si>
  <si>
    <t>Tom Grant</t>
  </si>
  <si>
    <t>220;185</t>
  </si>
  <si>
    <t>230;197</t>
  </si>
  <si>
    <t>240;184</t>
  </si>
  <si>
    <t>245;190</t>
  </si>
  <si>
    <t>250;183</t>
  </si>
  <si>
    <t>255;192</t>
  </si>
  <si>
    <t>260;182</t>
  </si>
  <si>
    <t>265;184</t>
  </si>
  <si>
    <t>270;180</t>
  </si>
  <si>
    <t>280;160</t>
  </si>
  <si>
    <t>280;172</t>
  </si>
  <si>
    <t>290;170</t>
  </si>
  <si>
    <t>300;115</t>
  </si>
  <si>
    <t>1959</t>
  </si>
  <si>
    <t>730D</t>
  </si>
  <si>
    <t>Dennis Ficken</t>
  </si>
  <si>
    <t>DC LP</t>
  </si>
  <si>
    <t>200;115</t>
  </si>
  <si>
    <t>230;125</t>
  </si>
  <si>
    <t>240;118</t>
  </si>
  <si>
    <t>250;118</t>
  </si>
  <si>
    <t>260;106</t>
  </si>
  <si>
    <t>265;99</t>
  </si>
  <si>
    <t>270;90</t>
  </si>
  <si>
    <t>280;68</t>
  </si>
  <si>
    <t>290;52</t>
  </si>
  <si>
    <t>250;145</t>
  </si>
  <si>
    <t>270;155</t>
  </si>
  <si>
    <t>310;155</t>
  </si>
  <si>
    <t>320;157</t>
  </si>
  <si>
    <t>325;158</t>
  </si>
  <si>
    <t>330;157</t>
  </si>
  <si>
    <t>340;145</t>
  </si>
  <si>
    <t>350;97</t>
  </si>
  <si>
    <t>360;107</t>
  </si>
  <si>
    <t>380;90</t>
  </si>
  <si>
    <t>400;78</t>
  </si>
  <si>
    <t>410;63</t>
  </si>
  <si>
    <t>Rick Lynch</t>
  </si>
  <si>
    <t>1951</t>
  </si>
  <si>
    <t>270;132</t>
  </si>
  <si>
    <t>285;136</t>
  </si>
  <si>
    <t>300;132</t>
  </si>
  <si>
    <t>305;132</t>
  </si>
  <si>
    <t>310;130</t>
  </si>
  <si>
    <t>315;125</t>
  </si>
  <si>
    <t>320;121</t>
  </si>
  <si>
    <t>330;116</t>
  </si>
  <si>
    <t>340;96</t>
  </si>
  <si>
    <t>350;82</t>
  </si>
  <si>
    <t>Bruce Johnson</t>
  </si>
  <si>
    <t>1953</t>
  </si>
  <si>
    <t>70 G</t>
  </si>
  <si>
    <t>230;156</t>
  </si>
  <si>
    <t>240;153</t>
  </si>
  <si>
    <t>245;156</t>
  </si>
  <si>
    <t>255;167</t>
  </si>
  <si>
    <t>265;160</t>
  </si>
  <si>
    <t>270;151</t>
  </si>
  <si>
    <t>275;144</t>
  </si>
  <si>
    <t>280;120</t>
  </si>
  <si>
    <t>290;61</t>
  </si>
  <si>
    <t>Randy McCauley</t>
  </si>
  <si>
    <t>1920</t>
  </si>
  <si>
    <t>Waterloo Boy</t>
  </si>
  <si>
    <t>220;64</t>
  </si>
  <si>
    <t>225;63</t>
  </si>
  <si>
    <t>230;60</t>
  </si>
  <si>
    <t>235;57</t>
  </si>
  <si>
    <t>250;54</t>
  </si>
  <si>
    <t>Frank Long</t>
  </si>
  <si>
    <t>1957</t>
  </si>
  <si>
    <t>270;104</t>
  </si>
  <si>
    <t>280;103</t>
  </si>
  <si>
    <t>290;102</t>
  </si>
  <si>
    <t>300;98</t>
  </si>
  <si>
    <t>310;96</t>
  </si>
  <si>
    <t>320;95</t>
  </si>
  <si>
    <t>330;90</t>
  </si>
  <si>
    <t>340;75</t>
  </si>
  <si>
    <t>A.D. Baker</t>
  </si>
  <si>
    <t>3/4 Scale</t>
  </si>
  <si>
    <t>150;150</t>
  </si>
  <si>
    <t>150;138</t>
  </si>
  <si>
    <t>175;138</t>
  </si>
  <si>
    <t>180;135</t>
  </si>
  <si>
    <t>190;113</t>
  </si>
  <si>
    <t>200;102</t>
  </si>
  <si>
    <t>200;132</t>
  </si>
  <si>
    <t>210;123</t>
  </si>
  <si>
    <t>Jim Bonnarens</t>
  </si>
  <si>
    <t>Owner's Email</t>
  </si>
  <si>
    <t>Email</t>
  </si>
  <si>
    <t>PDF Save Location</t>
  </si>
  <si>
    <t>(Folder only including final \)</t>
  </si>
  <si>
    <t>Max HP is at _ RPM</t>
  </si>
  <si>
    <t>Max Torque is at _ RPM</t>
  </si>
  <si>
    <t>COM3</t>
  </si>
  <si>
    <t>30.08</t>
  </si>
  <si>
    <t>1947</t>
  </si>
  <si>
    <t>80</t>
  </si>
  <si>
    <t>218;101</t>
  </si>
  <si>
    <t>219;100</t>
  </si>
  <si>
    <t>220;99</t>
  </si>
  <si>
    <t>221;98</t>
  </si>
  <si>
    <t>222;96</t>
  </si>
  <si>
    <t>223;94</t>
  </si>
  <si>
    <t>224;93</t>
  </si>
  <si>
    <t>225;91</t>
  </si>
  <si>
    <t>226;90</t>
  </si>
  <si>
    <t>232;82</t>
  </si>
  <si>
    <t>233;80</t>
  </si>
  <si>
    <t>234;77</t>
  </si>
  <si>
    <t>235;74</t>
  </si>
  <si>
    <t>236;73</t>
  </si>
  <si>
    <t>237;70</t>
  </si>
  <si>
    <t>238;65</t>
  </si>
  <si>
    <t>239;64</t>
  </si>
  <si>
    <t>240;61</t>
  </si>
  <si>
    <t>241;59</t>
  </si>
  <si>
    <t>242;54</t>
  </si>
  <si>
    <t>243;51</t>
  </si>
  <si>
    <t>244;49</t>
  </si>
  <si>
    <t>245;47</t>
  </si>
  <si>
    <t>246;45</t>
  </si>
  <si>
    <t>247;42</t>
  </si>
  <si>
    <t>248;41</t>
  </si>
  <si>
    <t>249;37</t>
  </si>
  <si>
    <t>250;33</t>
  </si>
  <si>
    <t>251;32</t>
  </si>
  <si>
    <t>252;29</t>
  </si>
  <si>
    <t>Num data points</t>
  </si>
  <si>
    <t>RPM value for vertical line -&gt;</t>
  </si>
  <si>
    <t>HP value for horizontal line -&gt;</t>
  </si>
  <si>
    <t>156;79</t>
  </si>
  <si>
    <t>158;131</t>
  </si>
  <si>
    <t>163;134</t>
  </si>
  <si>
    <t>174;130</t>
  </si>
  <si>
    <t>179;132</t>
  </si>
  <si>
    <t>188;129</t>
  </si>
  <si>
    <t>190;134</t>
  </si>
  <si>
    <t>199;128</t>
  </si>
  <si>
    <t>200;133</t>
  </si>
  <si>
    <t>205;126</t>
  </si>
  <si>
    <t>206;131</t>
  </si>
  <si>
    <t>208;125</t>
  </si>
  <si>
    <t>210;129</t>
  </si>
  <si>
    <t>214;120</t>
  </si>
  <si>
    <t>215;127</t>
  </si>
  <si>
    <t>221;124</t>
  </si>
  <si>
    <t>225;121</t>
  </si>
  <si>
    <t>226;119</t>
  </si>
  <si>
    <t>227;118</t>
  </si>
  <si>
    <t>228;116</t>
  </si>
  <si>
    <t>229;115</t>
  </si>
  <si>
    <t>230;112</t>
  </si>
  <si>
    <t>231;113</t>
  </si>
  <si>
    <t>232;112</t>
  </si>
  <si>
    <t>233;107</t>
  </si>
  <si>
    <t>234;104</t>
  </si>
  <si>
    <t>235;100</t>
  </si>
  <si>
    <t>236;97</t>
  </si>
  <si>
    <t>237;94</t>
  </si>
  <si>
    <t>238;91</t>
  </si>
  <si>
    <t>239;89</t>
  </si>
  <si>
    <t>240;87</t>
  </si>
  <si>
    <t>241;84</t>
  </si>
  <si>
    <t>242;81</t>
  </si>
  <si>
    <t>243;76</t>
  </si>
  <si>
    <t>244;73</t>
  </si>
  <si>
    <t>245;70</t>
  </si>
  <si>
    <t>246;66</t>
  </si>
  <si>
    <t>247;63</t>
  </si>
  <si>
    <t>248;62</t>
  </si>
  <si>
    <t>249;56</t>
  </si>
  <si>
    <t>250;50</t>
  </si>
  <si>
    <t>251;47</t>
  </si>
  <si>
    <t>252;46</t>
  </si>
  <si>
    <t>253;38</t>
  </si>
  <si>
    <t>254;35</t>
  </si>
  <si>
    <t>255;34</t>
  </si>
  <si>
    <t>256;33</t>
  </si>
  <si>
    <t>257;27</t>
  </si>
  <si>
    <t>258;28</t>
  </si>
  <si>
    <t>259;28</t>
  </si>
  <si>
    <t>29.98</t>
  </si>
  <si>
    <t>214;82</t>
  </si>
  <si>
    <t>220;81</t>
  </si>
  <si>
    <t>231;79</t>
  </si>
  <si>
    <t>239;77</t>
  </si>
  <si>
    <t>244;76</t>
  </si>
  <si>
    <t>253;75</t>
  </si>
  <si>
    <t>259;74</t>
  </si>
  <si>
    <t>263;73</t>
  </si>
  <si>
    <t>267;72</t>
  </si>
  <si>
    <t>273;70</t>
  </si>
  <si>
    <t>278;69</t>
  </si>
  <si>
    <t>288;67</t>
  </si>
  <si>
    <t>298;66</t>
  </si>
  <si>
    <t>306;64</t>
  </si>
  <si>
    <t>311;63</t>
  </si>
  <si>
    <t>317;62</t>
  </si>
  <si>
    <t>323;61</t>
  </si>
  <si>
    <t>334;58</t>
  </si>
  <si>
    <t>338;56</t>
  </si>
  <si>
    <t>342;55</t>
  </si>
  <si>
    <t>346;54</t>
  </si>
  <si>
    <t>350;52</t>
  </si>
  <si>
    <t>353;50</t>
  </si>
  <si>
    <t>360;49</t>
  </si>
  <si>
    <t>363;48</t>
  </si>
  <si>
    <t>366;47</t>
  </si>
  <si>
    <t>368;46</t>
  </si>
  <si>
    <t>378;45</t>
  </si>
  <si>
    <t>386;46</t>
  </si>
  <si>
    <t>392;47</t>
  </si>
  <si>
    <t>398;45</t>
  </si>
  <si>
    <t>402;44</t>
  </si>
  <si>
    <t>406;42</t>
  </si>
  <si>
    <t>412;40</t>
  </si>
  <si>
    <t>413;39</t>
  </si>
  <si>
    <t>417;38</t>
  </si>
  <si>
    <t>420;37</t>
  </si>
  <si>
    <t>422;36</t>
  </si>
  <si>
    <t>425;35</t>
  </si>
  <si>
    <t>428;34</t>
  </si>
  <si>
    <t>430;33</t>
  </si>
  <si>
    <t>433;32</t>
  </si>
  <si>
    <t>436;30</t>
  </si>
  <si>
    <t>438;29</t>
  </si>
  <si>
    <t>442;27</t>
  </si>
  <si>
    <t>444;24</t>
  </si>
  <si>
    <t>446;25</t>
  </si>
  <si>
    <t>449;23</t>
  </si>
  <si>
    <t>451;24</t>
  </si>
  <si>
    <t>453;23</t>
  </si>
  <si>
    <t>458;22</t>
  </si>
  <si>
    <t>459;18</t>
  </si>
  <si>
    <t>460;20</t>
  </si>
  <si>
    <t>461;19</t>
  </si>
  <si>
    <t>AJ Wolthuis</t>
  </si>
  <si>
    <t>257;60</t>
  </si>
  <si>
    <t>258;76</t>
  </si>
  <si>
    <t>272;73</t>
  </si>
  <si>
    <t>275;49</t>
  </si>
  <si>
    <t>282;68</t>
  </si>
  <si>
    <t>290;66</t>
  </si>
  <si>
    <t>293;28</t>
  </si>
  <si>
    <t>299;63</t>
  </si>
  <si>
    <t>305;30</t>
  </si>
  <si>
    <t>306;59</t>
  </si>
  <si>
    <t>309;55</t>
  </si>
  <si>
    <t>311;52</t>
  </si>
  <si>
    <t>313;47</t>
  </si>
  <si>
    <t>314;50</t>
  </si>
  <si>
    <t>315;41</t>
  </si>
  <si>
    <t>316;41</t>
  </si>
  <si>
    <t>317;42</t>
  </si>
  <si>
    <t>318;36</t>
  </si>
  <si>
    <t>319;41</t>
  </si>
  <si>
    <t>325;34</t>
  </si>
  <si>
    <t>328;33</t>
  </si>
  <si>
    <t>334;32</t>
  </si>
  <si>
    <t>336;31</t>
  </si>
  <si>
    <t>338;29</t>
  </si>
  <si>
    <t>341;28</t>
  </si>
  <si>
    <t>344;27</t>
  </si>
  <si>
    <t>345;27</t>
  </si>
  <si>
    <t>346;26</t>
  </si>
  <si>
    <t>347;27</t>
  </si>
  <si>
    <t>Brian Feild</t>
  </si>
  <si>
    <t>189;73</t>
  </si>
  <si>
    <t>190;37</t>
  </si>
  <si>
    <t>198;81</t>
  </si>
  <si>
    <t>201;71</t>
  </si>
  <si>
    <t>203;22</t>
  </si>
  <si>
    <t>210;80</t>
  </si>
  <si>
    <t>219;21</t>
  </si>
  <si>
    <t>220;66</t>
  </si>
  <si>
    <t>226;77</t>
  </si>
  <si>
    <t>227;65</t>
  </si>
  <si>
    <t>228;57</t>
  </si>
  <si>
    <t>235;66</t>
  </si>
  <si>
    <t>238;33</t>
  </si>
  <si>
    <t>239;74</t>
  </si>
  <si>
    <t>246;65</t>
  </si>
  <si>
    <t>253;73</t>
  </si>
  <si>
    <t>254;61</t>
  </si>
  <si>
    <t>263;59</t>
  </si>
  <si>
    <t>264;28</t>
  </si>
  <si>
    <t>265;19</t>
  </si>
  <si>
    <t>267;69</t>
  </si>
  <si>
    <t>272;57</t>
  </si>
  <si>
    <t>274;26</t>
  </si>
  <si>
    <t>275;24</t>
  </si>
  <si>
    <t>277;23</t>
  </si>
  <si>
    <t>278;55</t>
  </si>
  <si>
    <t>281;65</t>
  </si>
  <si>
    <t>286;53</t>
  </si>
  <si>
    <t>287;25</t>
  </si>
  <si>
    <t>292;51</t>
  </si>
  <si>
    <t>294;61</t>
  </si>
  <si>
    <t>298;50</t>
  </si>
  <si>
    <t>303;17</t>
  </si>
  <si>
    <t>305;48</t>
  </si>
  <si>
    <t>306;57</t>
  </si>
  <si>
    <t>311;46</t>
  </si>
  <si>
    <t>315;54</t>
  </si>
  <si>
    <t>316;43</t>
  </si>
  <si>
    <t>317;20</t>
  </si>
  <si>
    <t>319;23</t>
  </si>
  <si>
    <t>320;22</t>
  </si>
  <si>
    <t>321;41</t>
  </si>
  <si>
    <t>322;16</t>
  </si>
  <si>
    <t>323;17</t>
  </si>
  <si>
    <t>324;36</t>
  </si>
  <si>
    <t>325;15</t>
  </si>
  <si>
    <t>326;49</t>
  </si>
  <si>
    <t>327;31</t>
  </si>
  <si>
    <t>332;44</t>
  </si>
  <si>
    <t>335;16</t>
  </si>
  <si>
    <t>338;39</t>
  </si>
  <si>
    <t>343;35</t>
  </si>
  <si>
    <t>346;18</t>
  </si>
  <si>
    <t>347;19</t>
  </si>
  <si>
    <t>349;20</t>
  </si>
  <si>
    <t>351;34</t>
  </si>
  <si>
    <t>356;21</t>
  </si>
  <si>
    <t>358;28</t>
  </si>
  <si>
    <t>363;24</t>
  </si>
  <si>
    <t>365;20</t>
  </si>
  <si>
    <t>367;23</t>
  </si>
  <si>
    <t>368;22</t>
  </si>
  <si>
    <t>Abe Wolthuis</t>
  </si>
  <si>
    <t>151;54</t>
  </si>
  <si>
    <t>168;59</t>
  </si>
  <si>
    <t>177;56</t>
  </si>
  <si>
    <t>191;53</t>
  </si>
  <si>
    <t>199;51</t>
  </si>
  <si>
    <t>211;50</t>
  </si>
  <si>
    <t>216;46</t>
  </si>
  <si>
    <t>221;44</t>
  </si>
  <si>
    <t>226;43</t>
  </si>
  <si>
    <t>229;41</t>
  </si>
  <si>
    <t>233;40</t>
  </si>
  <si>
    <t>235;39</t>
  </si>
  <si>
    <t>237;37</t>
  </si>
  <si>
    <t>240;36</t>
  </si>
  <si>
    <t>241;35</t>
  </si>
  <si>
    <t>242;33</t>
  </si>
  <si>
    <t>243;31</t>
  </si>
  <si>
    <t>244;29</t>
  </si>
  <si>
    <t>245;28</t>
  </si>
  <si>
    <t>208;66</t>
  </si>
  <si>
    <t>224;65</t>
  </si>
  <si>
    <t>246;64</t>
  </si>
  <si>
    <t>253;62</t>
  </si>
  <si>
    <t>261;59</t>
  </si>
  <si>
    <t>271;55</t>
  </si>
  <si>
    <t>275;52</t>
  </si>
  <si>
    <t>279;51</t>
  </si>
  <si>
    <t>287;49</t>
  </si>
  <si>
    <t>292;47</t>
  </si>
  <si>
    <t>295;46</t>
  </si>
  <si>
    <t>297;45</t>
  </si>
  <si>
    <t>301;44</t>
  </si>
  <si>
    <t>305;42</t>
  </si>
  <si>
    <t>307;41</t>
  </si>
  <si>
    <t>310;39</t>
  </si>
  <si>
    <t>314;38</t>
  </si>
  <si>
    <t>315;37</t>
  </si>
  <si>
    <t>316;36</t>
  </si>
  <si>
    <t>319;35</t>
  </si>
  <si>
    <t>327;33</t>
  </si>
  <si>
    <t>333;32</t>
  </si>
  <si>
    <t>338;30</t>
  </si>
  <si>
    <t>341;29</t>
  </si>
  <si>
    <t>344;28</t>
  </si>
  <si>
    <t>349;26</t>
  </si>
  <si>
    <t>351;25</t>
  </si>
  <si>
    <t>353;24</t>
  </si>
  <si>
    <t>355;23</t>
  </si>
  <si>
    <t>356;18</t>
  </si>
  <si>
    <t>357;22</t>
  </si>
  <si>
    <t>358;20</t>
  </si>
  <si>
    <t>359;19</t>
  </si>
  <si>
    <t>360;21</t>
  </si>
  <si>
    <t>361;20</t>
  </si>
  <si>
    <t>366;16</t>
  </si>
  <si>
    <t>1936</t>
  </si>
  <si>
    <t>192;81</t>
  </si>
  <si>
    <t>204;78</t>
  </si>
  <si>
    <t>216;75</t>
  </si>
  <si>
    <t>224;72</t>
  </si>
  <si>
    <t>243;70</t>
  </si>
  <si>
    <t>251;71</t>
  </si>
  <si>
    <t>262;70</t>
  </si>
  <si>
    <t>269;66</t>
  </si>
  <si>
    <t>278;64</t>
  </si>
  <si>
    <t>285;62</t>
  </si>
  <si>
    <t>292;61</t>
  </si>
  <si>
    <t>299;59</t>
  </si>
  <si>
    <t>307;58</t>
  </si>
  <si>
    <t>313;56</t>
  </si>
  <si>
    <t>321;55</t>
  </si>
  <si>
    <t>329;52</t>
  </si>
  <si>
    <t>336;50</t>
  </si>
  <si>
    <t>347;47</t>
  </si>
  <si>
    <t>351;44</t>
  </si>
  <si>
    <t>355;42</t>
  </si>
  <si>
    <t>359;41</t>
  </si>
  <si>
    <t>362;39</t>
  </si>
  <si>
    <t>364;37</t>
  </si>
  <si>
    <t>367;36</t>
  </si>
  <si>
    <t>369;34</t>
  </si>
  <si>
    <t>371;33</t>
  </si>
  <si>
    <t>372;32</t>
  </si>
  <si>
    <t>380;33</t>
  </si>
  <si>
    <t>382;35</t>
  </si>
  <si>
    <t>386;33</t>
  </si>
  <si>
    <t>388;31</t>
  </si>
  <si>
    <t>391;30</t>
  </si>
  <si>
    <t>392;28</t>
  </si>
  <si>
    <t>394;27</t>
  </si>
  <si>
    <t>Jimmy White</t>
  </si>
  <si>
    <t>1927</t>
  </si>
  <si>
    <t>184;153</t>
  </si>
  <si>
    <t>205;147</t>
  </si>
  <si>
    <t>225;140</t>
  </si>
  <si>
    <t>239;134</t>
  </si>
  <si>
    <t>254;128</t>
  </si>
  <si>
    <t>265;118</t>
  </si>
  <si>
    <t>279;109</t>
  </si>
  <si>
    <t>287;102</t>
  </si>
  <si>
    <t>297;96</t>
  </si>
  <si>
    <t>304;89</t>
  </si>
  <si>
    <t>314;83</t>
  </si>
  <si>
    <t>322;81</t>
  </si>
  <si>
    <t>333;79</t>
  </si>
  <si>
    <t>345;75</t>
  </si>
  <si>
    <t>358;71</t>
  </si>
  <si>
    <t>370;68</t>
  </si>
  <si>
    <t>386;64</t>
  </si>
  <si>
    <t>399;49</t>
  </si>
  <si>
    <t>411;38</t>
  </si>
  <si>
    <t>420;29</t>
  </si>
  <si>
    <t>425;25</t>
  </si>
  <si>
    <t>430;23</t>
  </si>
  <si>
    <t>434;21</t>
  </si>
  <si>
    <t>436;14</t>
  </si>
  <si>
    <t>437;19</t>
  </si>
  <si>
    <t>439;15</t>
  </si>
  <si>
    <t>440;18</t>
  </si>
  <si>
    <t>442;17</t>
  </si>
  <si>
    <t>446;16</t>
  </si>
  <si>
    <t>448;15</t>
  </si>
  <si>
    <t>29.95</t>
  </si>
  <si>
    <t>Lynn Thorn</t>
  </si>
  <si>
    <t>1950</t>
  </si>
  <si>
    <t>International</t>
  </si>
  <si>
    <t>188;119</t>
  </si>
  <si>
    <t>200;118</t>
  </si>
  <si>
    <t>210;115</t>
  </si>
  <si>
    <t>220;112</t>
  </si>
  <si>
    <t>229;111</t>
  </si>
  <si>
    <t>237;109</t>
  </si>
  <si>
    <t>243;106</t>
  </si>
  <si>
    <t>248;104</t>
  </si>
  <si>
    <t>252;99</t>
  </si>
  <si>
    <t>256;94</t>
  </si>
  <si>
    <t>258;92</t>
  </si>
  <si>
    <t>259;89</t>
  </si>
  <si>
    <t>260;87</t>
  </si>
  <si>
    <t>261;84</t>
  </si>
  <si>
    <t>262;83</t>
  </si>
  <si>
    <t>264;81</t>
  </si>
  <si>
    <t>265;75</t>
  </si>
  <si>
    <t>267;71</t>
  </si>
  <si>
    <t>268;69</t>
  </si>
  <si>
    <t>271;60</t>
  </si>
  <si>
    <t>272;55</t>
  </si>
  <si>
    <t>273;53</t>
  </si>
  <si>
    <t>274;49</t>
  </si>
  <si>
    <t>275;42</t>
  </si>
  <si>
    <t>276;36</t>
  </si>
  <si>
    <t>277;51</t>
  </si>
  <si>
    <t>278;30</t>
  </si>
  <si>
    <t>Colton Rader</t>
  </si>
  <si>
    <t>173;91</t>
  </si>
  <si>
    <t>178;90</t>
  </si>
  <si>
    <t>183;89</t>
  </si>
  <si>
    <t>188;88</t>
  </si>
  <si>
    <t>194;87</t>
  </si>
  <si>
    <t>198;85</t>
  </si>
  <si>
    <t>203;84</t>
  </si>
  <si>
    <t>208;83</t>
  </si>
  <si>
    <t>213;82</t>
  </si>
  <si>
    <t>215;81</t>
  </si>
  <si>
    <t>217;80</t>
  </si>
  <si>
    <t>218;78</t>
  </si>
  <si>
    <t>219;77</t>
  </si>
  <si>
    <t>221;76</t>
  </si>
  <si>
    <t>222;74</t>
  </si>
  <si>
    <t>223;73</t>
  </si>
  <si>
    <t>225;71</t>
  </si>
  <si>
    <t>226;70</t>
  </si>
  <si>
    <t>227;69</t>
  </si>
  <si>
    <t>228;68</t>
  </si>
  <si>
    <t>229;66</t>
  </si>
  <si>
    <t>231;64</t>
  </si>
  <si>
    <t>232;62</t>
  </si>
  <si>
    <t>233;63</t>
  </si>
  <si>
    <t>234;61</t>
  </si>
  <si>
    <t>235;60</t>
  </si>
  <si>
    <t>236;57</t>
  </si>
  <si>
    <t>237;53</t>
  </si>
  <si>
    <t>239;51</t>
  </si>
  <si>
    <t>241;50</t>
  </si>
  <si>
    <t>243;48</t>
  </si>
  <si>
    <t>246;38</t>
  </si>
  <si>
    <t>247;40</t>
  </si>
  <si>
    <t>248;33</t>
  </si>
  <si>
    <t>254;31</t>
  </si>
  <si>
    <t>257;30</t>
  </si>
  <si>
    <t>258;29</t>
  </si>
  <si>
    <t>260;28</t>
  </si>
  <si>
    <t>261;23</t>
  </si>
  <si>
    <t>30.1</t>
  </si>
  <si>
    <t>David Brown</t>
  </si>
  <si>
    <t>1960</t>
  </si>
  <si>
    <t>830</t>
  </si>
  <si>
    <t>207;244</t>
  </si>
  <si>
    <t>223;234</t>
  </si>
  <si>
    <t>235;223</t>
  </si>
  <si>
    <t>241;230</t>
  </si>
  <si>
    <t>247;233</t>
  </si>
  <si>
    <t>257;243</t>
  </si>
  <si>
    <t>267;246</t>
  </si>
  <si>
    <t>286;239</t>
  </si>
  <si>
    <t>304;230</t>
  </si>
  <si>
    <t>319;216</t>
  </si>
  <si>
    <t>336;192</t>
  </si>
  <si>
    <t>350;175</t>
  </si>
  <si>
    <t>358;162</t>
  </si>
  <si>
    <t>364;154</t>
  </si>
  <si>
    <t>368;147</t>
  </si>
  <si>
    <t>371;141</t>
  </si>
  <si>
    <t>375;134</t>
  </si>
  <si>
    <t>378;129</t>
  </si>
  <si>
    <t>381;122</t>
  </si>
  <si>
    <t>386;114</t>
  </si>
  <si>
    <t>388;108</t>
  </si>
  <si>
    <t>391;100</t>
  </si>
  <si>
    <t>394;93</t>
  </si>
  <si>
    <t>395;88</t>
  </si>
  <si>
    <t>397;81</t>
  </si>
  <si>
    <t>398;67</t>
  </si>
  <si>
    <t>399;71</t>
  </si>
  <si>
    <t>400;60</t>
  </si>
  <si>
    <t>401;69</t>
  </si>
  <si>
    <t>402;67</t>
  </si>
  <si>
    <t>403;64</t>
  </si>
  <si>
    <t>404;60</t>
  </si>
  <si>
    <t>405;57</t>
  </si>
  <si>
    <t>406;52</t>
  </si>
  <si>
    <t>407;45</t>
  </si>
  <si>
    <t>409;37</t>
  </si>
  <si>
    <t>410;36</t>
  </si>
  <si>
    <t>411;35</t>
  </si>
  <si>
    <t>412;34</t>
  </si>
  <si>
    <t>413;29</t>
  </si>
  <si>
    <t>414;30</t>
  </si>
  <si>
    <t>422;17</t>
  </si>
  <si>
    <t>89</t>
  </si>
  <si>
    <t>Noah Belles</t>
  </si>
  <si>
    <t>1955</t>
  </si>
  <si>
    <t>70D</t>
  </si>
  <si>
    <t>321;91</t>
  </si>
  <si>
    <t>322;90</t>
  </si>
  <si>
    <t>331;81</t>
  </si>
  <si>
    <t>333;75</t>
  </si>
  <si>
    <t>336;68</t>
  </si>
  <si>
    <t>338;60</t>
  </si>
  <si>
    <t>339;54</t>
  </si>
  <si>
    <t>341;50</t>
  </si>
  <si>
    <t>343;47</t>
  </si>
  <si>
    <t>345;44</t>
  </si>
  <si>
    <t>346;42</t>
  </si>
  <si>
    <t>275;140</t>
  </si>
  <si>
    <t>300;140</t>
  </si>
  <si>
    <t>290;150</t>
  </si>
  <si>
    <t>250;165</t>
  </si>
  <si>
    <t>280;156</t>
  </si>
  <si>
    <t>Corbin Michael</t>
  </si>
  <si>
    <t>234;162</t>
  </si>
  <si>
    <t>235;142</t>
  </si>
  <si>
    <t>237;160</t>
  </si>
  <si>
    <t>238;141</t>
  </si>
  <si>
    <t>240;159</t>
  </si>
  <si>
    <t>244;158</t>
  </si>
  <si>
    <t>246;110</t>
  </si>
  <si>
    <t>247;102</t>
  </si>
  <si>
    <t>248;94</t>
  </si>
  <si>
    <t>249;84</t>
  </si>
  <si>
    <t>250;82</t>
  </si>
  <si>
    <t>251;79</t>
  </si>
  <si>
    <t>252;73</t>
  </si>
  <si>
    <t>253;65</t>
  </si>
  <si>
    <t>254;62</t>
  </si>
  <si>
    <t>255;56</t>
  </si>
  <si>
    <t>256;53</t>
  </si>
  <si>
    <t>257;50</t>
  </si>
  <si>
    <t>258;43</t>
  </si>
  <si>
    <t>259;29</t>
  </si>
  <si>
    <t>260;23</t>
  </si>
  <si>
    <t>262;24</t>
  </si>
  <si>
    <t>273;32</t>
  </si>
  <si>
    <t>720D</t>
  </si>
  <si>
    <t>242;147</t>
  </si>
  <si>
    <t>244;148</t>
  </si>
  <si>
    <t>246;147</t>
  </si>
  <si>
    <t>247;146</t>
  </si>
  <si>
    <t>249;145</t>
  </si>
  <si>
    <t>251;143</t>
  </si>
  <si>
    <t>253;140</t>
  </si>
  <si>
    <t>254;137</t>
  </si>
  <si>
    <t>256;128</t>
  </si>
  <si>
    <t>257;124</t>
  </si>
  <si>
    <t>258;123</t>
  </si>
  <si>
    <t>259;118</t>
  </si>
  <si>
    <t>260;114</t>
  </si>
  <si>
    <t>261;112</t>
  </si>
  <si>
    <t>262;109</t>
  </si>
  <si>
    <t>263;105</t>
  </si>
  <si>
    <t>264;99</t>
  </si>
  <si>
    <t>265;95</t>
  </si>
  <si>
    <t>266;94</t>
  </si>
  <si>
    <t>267;89</t>
  </si>
  <si>
    <t>268;85</t>
  </si>
  <si>
    <t>269;82</t>
  </si>
  <si>
    <t>270;77</t>
  </si>
  <si>
    <t>271;72</t>
  </si>
  <si>
    <t>272;69</t>
  </si>
  <si>
    <t>273;63</t>
  </si>
  <si>
    <t>274;57</t>
  </si>
  <si>
    <t>276;51</t>
  </si>
  <si>
    <t>277;45</t>
  </si>
  <si>
    <t>278;40</t>
  </si>
  <si>
    <t>279;38</t>
  </si>
  <si>
    <t>280;31</t>
  </si>
  <si>
    <t>281;18</t>
  </si>
  <si>
    <t>282;22</t>
  </si>
  <si>
    <t>283;22</t>
  </si>
  <si>
    <t>284;21</t>
  </si>
  <si>
    <t>Brian Field</t>
  </si>
  <si>
    <t>4020D</t>
  </si>
  <si>
    <t>220;335</t>
  </si>
  <si>
    <t>230;330</t>
  </si>
  <si>
    <t>250;285</t>
  </si>
  <si>
    <t>254;107</t>
  </si>
  <si>
    <t>255;92</t>
  </si>
  <si>
    <t>255;200</t>
  </si>
  <si>
    <t>256;95</t>
  </si>
  <si>
    <t>257;77</t>
  </si>
  <si>
    <t>258;72</t>
  </si>
  <si>
    <t>259;63</t>
  </si>
  <si>
    <t>260;163</t>
  </si>
  <si>
    <t>261;58</t>
  </si>
  <si>
    <t>263;131</t>
  </si>
  <si>
    <t>264;118</t>
  </si>
  <si>
    <t>265;110</t>
  </si>
  <si>
    <t>Nelson Brummett</t>
  </si>
  <si>
    <t>G 20-40</t>
  </si>
  <si>
    <t>Rumely Oil Pull</t>
  </si>
  <si>
    <t>275;114</t>
  </si>
  <si>
    <t>277;115</t>
  </si>
  <si>
    <t>280;114</t>
  </si>
  <si>
    <t>281;113</t>
  </si>
  <si>
    <t>282;112</t>
  </si>
  <si>
    <t>290;99</t>
  </si>
  <si>
    <t>291;100</t>
  </si>
  <si>
    <t>298;74</t>
  </si>
  <si>
    <t>307;11</t>
  </si>
  <si>
    <t>180;110</t>
  </si>
  <si>
    <t>190;105</t>
  </si>
  <si>
    <t>200;106</t>
  </si>
  <si>
    <t>220;105</t>
  </si>
  <si>
    <t>240;75</t>
  </si>
  <si>
    <t>James Appl</t>
  </si>
  <si>
    <t>190;96</t>
  </si>
  <si>
    <t>210;95</t>
  </si>
  <si>
    <t>230;90</t>
  </si>
  <si>
    <t>240;80</t>
  </si>
  <si>
    <t>250;70</t>
  </si>
  <si>
    <t>2-88</t>
  </si>
  <si>
    <t>Carl Beasley</t>
  </si>
  <si>
    <t>MTA Gas</t>
  </si>
  <si>
    <t>179;177</t>
  </si>
  <si>
    <t>194;176</t>
  </si>
  <si>
    <t>198;174</t>
  </si>
  <si>
    <t>207;151</t>
  </si>
  <si>
    <t>234;135</t>
  </si>
  <si>
    <t>242;123</t>
  </si>
  <si>
    <t>249;116</t>
  </si>
  <si>
    <t>250;114</t>
  </si>
  <si>
    <t>251;111</t>
  </si>
  <si>
    <t>252;106</t>
  </si>
  <si>
    <t>253;105</t>
  </si>
  <si>
    <t>254;104</t>
  </si>
  <si>
    <t>255;102</t>
  </si>
  <si>
    <t>256;83</t>
  </si>
  <si>
    <t>258;84</t>
  </si>
  <si>
    <t>259;95</t>
  </si>
  <si>
    <t>261;102</t>
  </si>
  <si>
    <t>262;95</t>
  </si>
  <si>
    <t>264;91</t>
  </si>
  <si>
    <t>266;68</t>
  </si>
  <si>
    <t>268;89</t>
  </si>
  <si>
    <t>269;25</t>
  </si>
  <si>
    <t>272;48</t>
  </si>
  <si>
    <t>274;32</t>
  </si>
  <si>
    <t>820</t>
  </si>
  <si>
    <t>223;239</t>
  </si>
  <si>
    <t>227;237</t>
  </si>
  <si>
    <t>230;234</t>
  </si>
  <si>
    <t>234;232</t>
  </si>
  <si>
    <t>235;185</t>
  </si>
  <si>
    <t>237;229</t>
  </si>
  <si>
    <t>240;226</t>
  </si>
  <si>
    <t>241;207</t>
  </si>
  <si>
    <t>242;220</t>
  </si>
  <si>
    <t>243;208</t>
  </si>
  <si>
    <t>244;200</t>
  </si>
  <si>
    <t>245;212</t>
  </si>
  <si>
    <t>246;193</t>
  </si>
  <si>
    <t>247;205</t>
  </si>
  <si>
    <t>248;192</t>
  </si>
  <si>
    <t>250;168</t>
  </si>
  <si>
    <t>251;165</t>
  </si>
  <si>
    <t>252;162</t>
  </si>
  <si>
    <t>253;151</t>
  </si>
  <si>
    <t>Sam Beasley</t>
  </si>
  <si>
    <t>218;93</t>
  </si>
  <si>
    <t>224;115</t>
  </si>
  <si>
    <t>225;114</t>
  </si>
  <si>
    <t>232;114</t>
  </si>
  <si>
    <t>234;113</t>
  </si>
  <si>
    <t>235;112</t>
  </si>
  <si>
    <t>236;111</t>
  </si>
  <si>
    <t>238;112</t>
  </si>
  <si>
    <t>241;111</t>
  </si>
  <si>
    <t>243;110</t>
  </si>
  <si>
    <t>244;108</t>
  </si>
  <si>
    <t>245;116</t>
  </si>
  <si>
    <t>246;107</t>
  </si>
  <si>
    <t>247;113</t>
  </si>
  <si>
    <t>248;105</t>
  </si>
  <si>
    <t>249;103</t>
  </si>
  <si>
    <t>250;101</t>
  </si>
  <si>
    <t>251;99</t>
  </si>
  <si>
    <t>252;97</t>
  </si>
  <si>
    <t>254;98</t>
  </si>
  <si>
    <t>259;71</t>
  </si>
  <si>
    <t>257;132</t>
  </si>
  <si>
    <t>258;128</t>
  </si>
  <si>
    <t>261;134</t>
  </si>
  <si>
    <t>262;117</t>
  </si>
  <si>
    <t>263;100</t>
  </si>
  <si>
    <t>268;109</t>
  </si>
  <si>
    <t>269;108</t>
  </si>
  <si>
    <t>270;115</t>
  </si>
  <si>
    <t>271;92</t>
  </si>
  <si>
    <t>272;98</t>
  </si>
  <si>
    <t>273;76</t>
  </si>
  <si>
    <t>274;73</t>
  </si>
  <si>
    <t>275;61</t>
  </si>
  <si>
    <t>276;54</t>
  </si>
  <si>
    <t>277;52</t>
  </si>
  <si>
    <t>278;51</t>
  </si>
  <si>
    <t>279;50</t>
  </si>
  <si>
    <t>283;59</t>
  </si>
  <si>
    <t>Noah M. Jones</t>
  </si>
  <si>
    <t>McCormick-Deering</t>
  </si>
  <si>
    <t>;</t>
  </si>
  <si>
    <t>166;200</t>
  </si>
  <si>
    <t>167;192</t>
  </si>
  <si>
    <t>168;190</t>
  </si>
  <si>
    <t>169;185</t>
  </si>
  <si>
    <t>170;180</t>
  </si>
  <si>
    <t>171;181</t>
  </si>
  <si>
    <t>172;143</t>
  </si>
  <si>
    <t>173;135</t>
  </si>
  <si>
    <t>175;93</t>
  </si>
  <si>
    <t>176;128</t>
  </si>
  <si>
    <t>177;95</t>
  </si>
  <si>
    <t>178;83</t>
  </si>
  <si>
    <t>179;79</t>
  </si>
  <si>
    <t>180;58</t>
  </si>
  <si>
    <t>182;54</t>
  </si>
  <si>
    <t>183;51</t>
  </si>
  <si>
    <t>184;63</t>
  </si>
  <si>
    <t>185;89</t>
  </si>
  <si>
    <t>187;66</t>
  </si>
  <si>
    <t>188;65</t>
  </si>
  <si>
    <t>189;55</t>
  </si>
  <si>
    <t>191;35</t>
  </si>
  <si>
    <t>192;40</t>
  </si>
  <si>
    <t>193;23</t>
  </si>
  <si>
    <t>194;24</t>
  </si>
  <si>
    <t>195;35</t>
  </si>
  <si>
    <t>196;28</t>
  </si>
  <si>
    <t>211;55</t>
  </si>
  <si>
    <t>263;32</t>
  </si>
  <si>
    <t>271;25</t>
  </si>
  <si>
    <t>Luke Elliott</t>
  </si>
  <si>
    <t>White</t>
  </si>
  <si>
    <t>222;361</t>
  </si>
  <si>
    <t>224;359</t>
  </si>
  <si>
    <t>227;357</t>
  </si>
  <si>
    <t>240;297</t>
  </si>
  <si>
    <t>242;266</t>
  </si>
  <si>
    <t>243;251</t>
  </si>
  <si>
    <t>244;241</t>
  </si>
  <si>
    <t>245;236</t>
  </si>
  <si>
    <t>246;216</t>
  </si>
  <si>
    <t>247;212</t>
  </si>
  <si>
    <t>248;190</t>
  </si>
  <si>
    <t>249;166</t>
  </si>
  <si>
    <t>250;166</t>
  </si>
  <si>
    <t>251;159</t>
  </si>
  <si>
    <t>252;132</t>
  </si>
  <si>
    <t>253;213</t>
  </si>
  <si>
    <t>258;161</t>
  </si>
  <si>
    <t>259;62</t>
  </si>
  <si>
    <t>260;16</t>
  </si>
  <si>
    <t>87</t>
  </si>
  <si>
    <t>30.06</t>
  </si>
  <si>
    <t>202;63</t>
  </si>
  <si>
    <t>205;64</t>
  </si>
  <si>
    <t>206;66</t>
  </si>
  <si>
    <t>208;65</t>
  </si>
  <si>
    <t>242;64</t>
  </si>
  <si>
    <t>243;65</t>
  </si>
  <si>
    <t>253;66</t>
  </si>
  <si>
    <t>256;65</t>
  </si>
  <si>
    <t>264;64</t>
  </si>
  <si>
    <t>267;63</t>
  </si>
  <si>
    <t>271;61</t>
  </si>
  <si>
    <t>275;58</t>
  </si>
  <si>
    <t>280;56</t>
  </si>
  <si>
    <t>283;52</t>
  </si>
  <si>
    <t>286;50</t>
  </si>
  <si>
    <t>287;48</t>
  </si>
  <si>
    <t>289;47</t>
  </si>
  <si>
    <t>290;46</t>
  </si>
  <si>
    <t>291;45</t>
  </si>
  <si>
    <t>70</t>
  </si>
  <si>
    <t>198;73</t>
  </si>
  <si>
    <t>200;72</t>
  </si>
  <si>
    <t>203;73</t>
  </si>
  <si>
    <t>206;72</t>
  </si>
  <si>
    <t>209;71</t>
  </si>
  <si>
    <t>212;70</t>
  </si>
  <si>
    <t>216;69</t>
  </si>
  <si>
    <t>218;66</t>
  </si>
  <si>
    <t>221;65</t>
  </si>
  <si>
    <t>224;61</t>
  </si>
  <si>
    <t>225;62</t>
  </si>
  <si>
    <t>226;63</t>
  </si>
  <si>
    <t>227;61</t>
  </si>
  <si>
    <t>228;59</t>
  </si>
  <si>
    <t>230;58</t>
  </si>
  <si>
    <t>231;57</t>
  </si>
  <si>
    <t>232;58</t>
  </si>
  <si>
    <t>234;56</t>
  </si>
  <si>
    <t>235;55</t>
  </si>
  <si>
    <t>238;52</t>
  </si>
  <si>
    <t>240;51</t>
  </si>
  <si>
    <t>255;33</t>
  </si>
  <si>
    <t>Boone Hinkle</t>
  </si>
  <si>
    <t>Oliver</t>
  </si>
  <si>
    <t>88 Diesel</t>
  </si>
  <si>
    <t>197;156</t>
  </si>
  <si>
    <t>200;158</t>
  </si>
  <si>
    <t>201;156</t>
  </si>
  <si>
    <t>203;155</t>
  </si>
  <si>
    <t>204;153</t>
  </si>
  <si>
    <t>206;151</t>
  </si>
  <si>
    <t>208;150</t>
  </si>
  <si>
    <t>210;149</t>
  </si>
  <si>
    <t>212;146</t>
  </si>
  <si>
    <t>213;144</t>
  </si>
  <si>
    <t>214;142</t>
  </si>
  <si>
    <t>215;140</t>
  </si>
  <si>
    <t>218;127</t>
  </si>
  <si>
    <t>222;128</t>
  </si>
  <si>
    <t>223;127</t>
  </si>
  <si>
    <t>225;117</t>
  </si>
  <si>
    <t>226;115</t>
  </si>
  <si>
    <t>227;125</t>
  </si>
  <si>
    <t>228;112</t>
  </si>
  <si>
    <t>229;105</t>
  </si>
  <si>
    <t>230;98</t>
  </si>
  <si>
    <t>231;96</t>
  </si>
  <si>
    <t>232;86</t>
  </si>
  <si>
    <t>236;78</t>
  </si>
  <si>
    <t>237;57</t>
  </si>
  <si>
    <t>238;55</t>
  </si>
  <si>
    <t>Chris Reynolds</t>
  </si>
  <si>
    <t>Matt Lehar</t>
  </si>
  <si>
    <t>282;148</t>
  </si>
  <si>
    <t>284;145</t>
  </si>
  <si>
    <t>285;144</t>
  </si>
  <si>
    <t>286;143</t>
  </si>
  <si>
    <t>287;142</t>
  </si>
  <si>
    <t>288;129</t>
  </si>
  <si>
    <t>289;140</t>
  </si>
  <si>
    <t>290;118</t>
  </si>
  <si>
    <t>291;115</t>
  </si>
  <si>
    <t>292;113</t>
  </si>
  <si>
    <t>293;112</t>
  </si>
  <si>
    <t>299;62</t>
  </si>
  <si>
    <t>300;64</t>
  </si>
  <si>
    <t>301;58</t>
  </si>
  <si>
    <t>306;51</t>
  </si>
  <si>
    <t>30.16</t>
  </si>
  <si>
    <t>83</t>
  </si>
  <si>
    <t>188;133</t>
  </si>
  <si>
    <t>220;145</t>
  </si>
  <si>
    <t>230;145</t>
  </si>
  <si>
    <t>240;140</t>
  </si>
  <si>
    <t>250;135</t>
  </si>
  <si>
    <t>255;135</t>
  </si>
  <si>
    <t>260;130</t>
  </si>
  <si>
    <t>266;120</t>
  </si>
  <si>
    <t>279;89</t>
  </si>
  <si>
    <t>280;84</t>
  </si>
  <si>
    <t>282;82</t>
  </si>
  <si>
    <t>283;81</t>
  </si>
  <si>
    <t>284;75</t>
  </si>
  <si>
    <t>285;73</t>
  </si>
  <si>
    <t>286;70</t>
  </si>
  <si>
    <t>287;66</t>
  </si>
  <si>
    <t>288;62</t>
  </si>
  <si>
    <t>289;59</t>
  </si>
  <si>
    <t>290;57</t>
  </si>
  <si>
    <t>291;46</t>
  </si>
  <si>
    <t>292;46</t>
  </si>
  <si>
    <t>293;45</t>
  </si>
  <si>
    <t>296;32</t>
  </si>
  <si>
    <t>298;24</t>
  </si>
  <si>
    <t>273;203</t>
  </si>
  <si>
    <t>320;190</t>
  </si>
  <si>
    <t>340;195</t>
  </si>
  <si>
    <t>350;185</t>
  </si>
  <si>
    <t>360;155</t>
  </si>
  <si>
    <t>380;125</t>
  </si>
  <si>
    <t>381;125</t>
  </si>
  <si>
    <t>382;120</t>
  </si>
  <si>
    <t>385;116</t>
  </si>
  <si>
    <t>388;111</t>
  </si>
  <si>
    <t>389;109</t>
  </si>
  <si>
    <t>390;108</t>
  </si>
  <si>
    <t>391;105</t>
  </si>
  <si>
    <t>393;102</t>
  </si>
  <si>
    <t>394;100</t>
  </si>
  <si>
    <t>402;62</t>
  </si>
  <si>
    <t>407;65</t>
  </si>
  <si>
    <t>408;66</t>
  </si>
  <si>
    <t>Ryan Korff</t>
  </si>
  <si>
    <t>1934</t>
  </si>
  <si>
    <t>250;45</t>
  </si>
  <si>
    <t>260;45</t>
  </si>
  <si>
    <t>270;43</t>
  </si>
  <si>
    <t>280;42</t>
  </si>
  <si>
    <t>285;40</t>
  </si>
  <si>
    <t>290;40</t>
  </si>
  <si>
    <t>Allen Odom</t>
  </si>
  <si>
    <t>1929</t>
  </si>
  <si>
    <t>200;160</t>
  </si>
  <si>
    <t>210;167</t>
  </si>
  <si>
    <t>215;167</t>
  </si>
  <si>
    <t>220;160</t>
  </si>
  <si>
    <t>225;150</t>
  </si>
  <si>
    <t>230;140</t>
  </si>
  <si>
    <t>255;77</t>
  </si>
  <si>
    <t>260;69</t>
  </si>
  <si>
    <t>265;57</t>
  </si>
  <si>
    <t>270;55</t>
  </si>
  <si>
    <t>267;45</t>
  </si>
  <si>
    <t>272;39</t>
  </si>
  <si>
    <t>250;130</t>
  </si>
  <si>
    <t>240;157</t>
  </si>
  <si>
    <t>235;167</t>
  </si>
  <si>
    <t>225;182</t>
  </si>
  <si>
    <t>210;180</t>
  </si>
  <si>
    <t>200;180</t>
  </si>
  <si>
    <t>215;177</t>
  </si>
  <si>
    <t>205;175</t>
  </si>
  <si>
    <t>Randy Hargis</t>
  </si>
  <si>
    <t>1946</t>
  </si>
  <si>
    <t>310;32</t>
  </si>
  <si>
    <t>295;35</t>
  </si>
  <si>
    <t>290;37</t>
  </si>
  <si>
    <t>275;43</t>
  </si>
  <si>
    <t>270;45</t>
  </si>
  <si>
    <t>265;47</t>
  </si>
  <si>
    <t>260;48</t>
  </si>
  <si>
    <t>230;49</t>
  </si>
  <si>
    <t>220;48</t>
  </si>
  <si>
    <t>210;48</t>
  </si>
  <si>
    <t>395;50</t>
  </si>
  <si>
    <t>350;45</t>
  </si>
  <si>
    <t>Scott Knoll</t>
  </si>
  <si>
    <t>195;152</t>
  </si>
  <si>
    <t>200;162</t>
  </si>
  <si>
    <t>210;158</t>
  </si>
  <si>
    <t>215;155</t>
  </si>
  <si>
    <t>225;152</t>
  </si>
  <si>
    <t>235;150</t>
  </si>
  <si>
    <t>240;147</t>
  </si>
  <si>
    <t>245;145</t>
  </si>
  <si>
    <t>250;142</t>
  </si>
  <si>
    <t>260;125</t>
  </si>
  <si>
    <t>265;112</t>
  </si>
  <si>
    <t>275;72</t>
  </si>
  <si>
    <t>Tim Wilson</t>
  </si>
  <si>
    <t>385;70</t>
  </si>
  <si>
    <t>380;71</t>
  </si>
  <si>
    <t>370;72</t>
  </si>
  <si>
    <t>360;72</t>
  </si>
  <si>
    <t>350;75</t>
  </si>
  <si>
    <t>340;77</t>
  </si>
  <si>
    <t>330;77</t>
  </si>
  <si>
    <t>320;79</t>
  </si>
  <si>
    <t>310;75</t>
  </si>
  <si>
    <t>280;78</t>
  </si>
  <si>
    <t>240;82</t>
  </si>
  <si>
    <t>Jarin Cunningham</t>
  </si>
  <si>
    <t>200;85</t>
  </si>
  <si>
    <t>210;88</t>
  </si>
  <si>
    <t>220;87</t>
  </si>
  <si>
    <t>230;85</t>
  </si>
  <si>
    <t>240;83</t>
  </si>
  <si>
    <t>250;80</t>
  </si>
  <si>
    <t>260;72</t>
  </si>
  <si>
    <t>270;67</t>
  </si>
  <si>
    <t>275;40</t>
  </si>
  <si>
    <t>86</t>
  </si>
  <si>
    <t>200;107</t>
  </si>
  <si>
    <t>210;105</t>
  </si>
  <si>
    <t>220;106</t>
  </si>
  <si>
    <t>225;108</t>
  </si>
  <si>
    <t>230;108</t>
  </si>
  <si>
    <t>235;105</t>
  </si>
  <si>
    <t>240;100</t>
  </si>
  <si>
    <t>245;90</t>
  </si>
  <si>
    <t>30.09</t>
  </si>
  <si>
    <t>1952</t>
  </si>
  <si>
    <t>360;75</t>
  </si>
  <si>
    <t>350;98</t>
  </si>
  <si>
    <t>340;112</t>
  </si>
  <si>
    <t>330;117</t>
  </si>
  <si>
    <t>320;122</t>
  </si>
  <si>
    <t>290;120</t>
  </si>
  <si>
    <t>Randy Boderhamer</t>
  </si>
  <si>
    <t>340;50</t>
  </si>
  <si>
    <t>330;75</t>
  </si>
  <si>
    <t>320;85</t>
  </si>
  <si>
    <t>310;98</t>
  </si>
  <si>
    <t>300;102</t>
  </si>
  <si>
    <t>290;105</t>
  </si>
  <si>
    <t>280;105</t>
  </si>
  <si>
    <t>280;145</t>
  </si>
  <si>
    <t>295;142</t>
  </si>
  <si>
    <t>310;120</t>
  </si>
  <si>
    <t>250;150</t>
  </si>
  <si>
    <t>225;110</t>
  </si>
  <si>
    <t>255;110</t>
  </si>
  <si>
    <t>260;110</t>
  </si>
  <si>
    <t>265;108</t>
  </si>
  <si>
    <t>270;107</t>
  </si>
  <si>
    <t>275;98</t>
  </si>
  <si>
    <t>280;88</t>
  </si>
  <si>
    <t>295;60</t>
  </si>
  <si>
    <t>Richard Reynolds</t>
  </si>
  <si>
    <t>360;35</t>
  </si>
  <si>
    <t>350;42</t>
  </si>
  <si>
    <t>340;42</t>
  </si>
  <si>
    <t>320;48</t>
  </si>
  <si>
    <t>308;53</t>
  </si>
  <si>
    <t>280;63</t>
  </si>
  <si>
    <t>260;57</t>
  </si>
  <si>
    <t>265;60</t>
  </si>
  <si>
    <t>230;63</t>
  </si>
  <si>
    <t>Travis Feild</t>
  </si>
  <si>
    <t>330;34</t>
  </si>
  <si>
    <t>320;35</t>
  </si>
  <si>
    <t>310;35</t>
  </si>
  <si>
    <t>300;36</t>
  </si>
  <si>
    <t>280;37</t>
  </si>
  <si>
    <t>270;37</t>
  </si>
  <si>
    <t>260;37</t>
  </si>
  <si>
    <t>250;38</t>
  </si>
  <si>
    <t>240;38</t>
  </si>
  <si>
    <t>230;38</t>
  </si>
  <si>
    <t>1935</t>
  </si>
  <si>
    <t>260;38</t>
  </si>
  <si>
    <t>250;60</t>
  </si>
  <si>
    <t>240;95</t>
  </si>
  <si>
    <t>230;120</t>
  </si>
  <si>
    <t>220;132</t>
  </si>
  <si>
    <t>205;132</t>
  </si>
  <si>
    <t>215;130</t>
  </si>
  <si>
    <t>225;130</t>
  </si>
  <si>
    <t>Levi Dixon</t>
  </si>
  <si>
    <t>1940</t>
  </si>
  <si>
    <t>210;170</t>
  </si>
  <si>
    <t>220;167</t>
  </si>
  <si>
    <t>240;135</t>
  </si>
  <si>
    <t>250;120</t>
  </si>
  <si>
    <t>260;112</t>
  </si>
  <si>
    <t>270;100</t>
  </si>
  <si>
    <t>300;80</t>
  </si>
  <si>
    <t>310;70</t>
  </si>
  <si>
    <t>330;50</t>
  </si>
  <si>
    <t>340;47</t>
  </si>
  <si>
    <t>345;42</t>
  </si>
  <si>
    <t>Kainon Big</t>
  </si>
  <si>
    <t>300;72</t>
  </si>
  <si>
    <t>285;78</t>
  </si>
  <si>
    <t>235;80</t>
  </si>
  <si>
    <t>220;84</t>
  </si>
  <si>
    <t>202;80</t>
  </si>
  <si>
    <t>Trenton Meyer</t>
  </si>
  <si>
    <t>1930</t>
  </si>
  <si>
    <t>320;72</t>
  </si>
  <si>
    <t>310;77</t>
  </si>
  <si>
    <t>Fordson</t>
  </si>
  <si>
    <t>Ford</t>
  </si>
  <si>
    <t>Ferguson</t>
  </si>
  <si>
    <t>Minneapolis-Moline</t>
  </si>
  <si>
    <t>Cockshutt</t>
  </si>
  <si>
    <t>Massey-Harris</t>
  </si>
  <si>
    <t>C:\Users\Daniel\Downloads\</t>
  </si>
  <si>
    <t>330;190</t>
  </si>
  <si>
    <t>Overspeed Alert</t>
  </si>
  <si>
    <t>B: Drive Pulley Diameter (in)</t>
  </si>
  <si>
    <t>C: PTO Pulley Diameter (in)</t>
  </si>
  <si>
    <t>30.33</t>
  </si>
  <si>
    <t>57</t>
  </si>
  <si>
    <t>250;75</t>
  </si>
  <si>
    <t>230;110</t>
  </si>
  <si>
    <t>225;115</t>
  </si>
  <si>
    <t>215;125</t>
  </si>
  <si>
    <t>298;68</t>
  </si>
  <si>
    <t>305;80</t>
  </si>
  <si>
    <t>300;97</t>
  </si>
  <si>
    <t>295;102</t>
  </si>
  <si>
    <t>280;135</t>
  </si>
  <si>
    <t>270;137</t>
  </si>
  <si>
    <t>260;137</t>
  </si>
  <si>
    <t>248;145</t>
  </si>
  <si>
    <t>235;145</t>
  </si>
  <si>
    <t>205;135</t>
  </si>
  <si>
    <t>170;125</t>
  </si>
  <si>
    <t>Bill Higgins</t>
  </si>
  <si>
    <t>61</t>
  </si>
  <si>
    <t>190;120</t>
  </si>
  <si>
    <t>215;120</t>
  </si>
  <si>
    <t>230;118</t>
  </si>
  <si>
    <t>250;105</t>
  </si>
  <si>
    <t>260;122</t>
  </si>
  <si>
    <t>280;115</t>
  </si>
  <si>
    <t>Levi Hale</t>
  </si>
  <si>
    <t>350;135</t>
  </si>
  <si>
    <t>280;185</t>
  </si>
  <si>
    <t>270;188</t>
  </si>
  <si>
    <t>Jerry Oler</t>
  </si>
  <si>
    <t>720 Diesel</t>
  </si>
  <si>
    <t>64</t>
  </si>
  <si>
    <t>335;100</t>
  </si>
  <si>
    <t>330;110</t>
  </si>
  <si>
    <t>320;114</t>
  </si>
  <si>
    <t>310;123</t>
  </si>
  <si>
    <t>300;128</t>
  </si>
  <si>
    <t>280;132</t>
  </si>
  <si>
    <t>265;132</t>
  </si>
  <si>
    <t>Lynn Thorne</t>
  </si>
  <si>
    <t>240;137</t>
  </si>
  <si>
    <t>245;135</t>
  </si>
  <si>
    <t>250;136</t>
  </si>
  <si>
    <t>260;142</t>
  </si>
  <si>
    <t>270;142</t>
  </si>
  <si>
    <t>280;137</t>
  </si>
  <si>
    <t>300;110</t>
  </si>
  <si>
    <t>Jace Ellis</t>
  </si>
  <si>
    <t>1973</t>
  </si>
  <si>
    <t>170 Diesel</t>
  </si>
  <si>
    <t>30.31</t>
  </si>
  <si>
    <t>210;195</t>
  </si>
  <si>
    <t>220;210</t>
  </si>
  <si>
    <t>230;200</t>
  </si>
  <si>
    <t>240;207</t>
  </si>
  <si>
    <t>245;205</t>
  </si>
  <si>
    <t>250;205</t>
  </si>
  <si>
    <t>255;185</t>
  </si>
  <si>
    <t>260;140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</si>
</sst>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00000"/>
    <numFmt numFmtId="167" formatCode="0.000000"/>
    <numFmt numFmtId="168" formatCode="0.00000000%"/>
    <numFmt numFmtId="169" formatCode="[$-409]mmmm\ d\,\ yyyy;@"/>
  </numFmts>
  <fonts count="28" x14ac:knownFonts="1">
    <font>
      <sz val="11"/>
      <color theme="1"/>
      <name val="Calibri"/>
      <family val="2"/>
      <scheme val="minor"/>
    </font>
    <font>
      <sz val="12"/>
      <color theme="1"/>
      <name val="Calibri"/>
      <family val="2"/>
      <scheme val="minor"/>
    </font>
    <font>
      <b/>
      <sz val="11"/>
      <color theme="1"/>
      <name val="Calibri"/>
      <family val="2"/>
      <scheme val="minor"/>
    </font>
    <font>
      <sz val="11"/>
      <name val="Calibri"/>
      <family val="2"/>
      <scheme val="minor"/>
    </font>
    <font>
      <u/>
      <sz val="11"/>
      <color theme="11"/>
      <name val="Calibri"/>
      <family val="2"/>
      <scheme val="minor"/>
    </font>
    <font>
      <u/>
      <sz val="11"/>
      <color theme="10"/>
      <name val="Calibri"/>
      <family val="2"/>
      <scheme val="minor"/>
    </font>
    <font>
      <sz val="11"/>
      <color theme="0" tint="-0.249977111117893"/>
      <name val="Calibri"/>
      <family val="2"/>
      <scheme val="minor"/>
    </font>
    <font>
      <sz val="11"/>
      <color theme="1"/>
      <name val="Calibri"/>
      <family val="2"/>
      <scheme val="minor"/>
    </font>
    <font>
      <i/>
      <sz val="9"/>
      <color theme="1"/>
      <name val="Calibri"/>
      <family val="2"/>
      <scheme val="minor"/>
    </font>
    <font>
      <b/>
      <sz val="12"/>
      <color theme="1"/>
      <name val="Calibri"/>
      <family val="2"/>
      <scheme val="minor"/>
    </font>
    <font>
      <sz val="12"/>
      <name val="Calibri"/>
      <family val="2"/>
      <scheme val="minor"/>
    </font>
    <font>
      <b/>
      <sz val="24"/>
      <color theme="1"/>
      <name val="Calibri"/>
      <family val="2"/>
      <scheme val="minor"/>
    </font>
    <font>
      <sz val="24"/>
      <name val="Calibri"/>
      <family val="2"/>
      <scheme val="minor"/>
    </font>
    <font>
      <sz val="8"/>
      <name val="Calibri"/>
      <family val="2"/>
      <scheme val="minor"/>
    </font>
    <font>
      <b/>
      <sz val="18"/>
      <name val="Calibri"/>
      <family val="2"/>
      <scheme val="minor"/>
    </font>
    <font>
      <sz val="18"/>
      <name val="Calibri"/>
      <family val="2"/>
      <scheme val="minor"/>
    </font>
    <font>
      <b/>
      <sz val="20"/>
      <name val="Calibri"/>
      <family val="2"/>
      <scheme val="minor"/>
    </font>
    <font>
      <sz val="20"/>
      <name val="Calibri"/>
      <family val="2"/>
      <scheme val="minor"/>
    </font>
    <font>
      <sz val="28"/>
      <color theme="1"/>
      <name val="Calibri"/>
      <family val="2"/>
      <scheme val="minor"/>
    </font>
    <font>
      <b/>
      <sz val="16"/>
      <color theme="1"/>
      <name val="Calibri"/>
      <family val="2"/>
      <scheme val="minor"/>
    </font>
    <font>
      <sz val="16"/>
      <color theme="1"/>
      <name val="Calibri"/>
      <family val="2"/>
      <scheme val="minor"/>
    </font>
    <font>
      <sz val="18"/>
      <color theme="0" tint="-4.9989318521683403E-2"/>
      <name val="Calibri"/>
      <family val="2"/>
      <scheme val="minor"/>
    </font>
    <font>
      <sz val="11"/>
      <color rgb="FF000000"/>
      <name val="Calibri"/>
      <family val="2"/>
    </font>
    <font>
      <sz val="9"/>
      <color theme="1"/>
      <name val="Calibri"/>
      <family val="2"/>
      <scheme val="minor"/>
    </font>
    <font>
      <sz val="11"/>
      <color rgb="FF050505"/>
      <name val="Segoe UI Historic"/>
      <family val="2"/>
    </font>
    <font>
      <sz val="24"/>
      <color rgb="FFF8F8F8"/>
      <name val="Calibri"/>
      <family val="2"/>
      <scheme val="minor"/>
    </font>
    <font>
      <sz val="9"/>
      <color rgb="FF000000"/>
      <name val="Calibri"/>
      <family val="2"/>
    </font>
    <font>
      <sz val="16"/>
      <color rgb="FFFF0000"/>
      <name val="Calibri"/>
      <family val="2"/>
      <scheme val="minor"/>
    </font>
  </fonts>
  <fills count="5">
    <fill>
      <patternFill patternType="none"/>
    </fill>
    <fill>
      <patternFill patternType="gray125"/>
    </fill>
    <fill>
      <patternFill patternType="solid">
        <fgColor rgb="FFFFFF99"/>
        <bgColor indexed="64"/>
      </patternFill>
    </fill>
    <fill>
      <patternFill patternType="solid">
        <fgColor theme="4" tint="0.79998168889431442"/>
        <bgColor indexed="64"/>
      </patternFill>
    </fill>
    <fill>
      <patternFill patternType="solid">
        <fgColor theme="9" tint="0.79998168889431442"/>
        <bgColor indexed="64"/>
      </patternFill>
    </fill>
  </fills>
  <borders count="53">
    <border>
      <left/>
      <right/>
      <top/>
      <bottom/>
      <diagonal/>
    </border>
    <border>
      <left/>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thin">
        <color indexed="0"/>
      </left>
      <right style="thin">
        <color indexed="0"/>
      </right>
      <top style="thin">
        <color indexed="0"/>
      </top>
      <bottom/>
      <diagonal/>
    </border>
    <border>
      <left style="thin">
        <color indexed="0"/>
      </left>
      <right style="thin">
        <color indexed="0"/>
      </right>
      <top/>
      <bottom style="thin">
        <color indexed="0"/>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style="medium">
        <color indexed="64"/>
      </top>
      <bottom/>
      <diagonal/>
    </border>
    <border>
      <left style="thin">
        <color auto="1"/>
      </left>
      <right style="medium">
        <color indexed="64"/>
      </right>
      <top style="medium">
        <color indexed="64"/>
      </top>
      <bottom/>
      <diagonal/>
    </border>
    <border>
      <left style="medium">
        <color indexed="64"/>
      </left>
      <right/>
      <top/>
      <bottom style="medium">
        <color indexed="64"/>
      </bottom>
      <diagonal/>
    </border>
    <border>
      <left style="thin">
        <color auto="1"/>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auto="1"/>
      </bottom>
      <diagonal/>
    </border>
  </borders>
  <cellStyleXfs count="51">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9" fontId="7"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cellStyleXfs>
  <cellXfs count="128">
    <xf numFmtId="0" fontId="0" fillId="0" borderId="0" xfId="0"/>
    <xf numFmtId="49" fontId="2" fillId="0" borderId="0" xfId="0" applyNumberFormat="1" applyFont="1" applyAlignment="1">
      <alignment horizontal="center"/>
    </xf>
    <xf numFmtId="165" fontId="2" fillId="0" borderId="0" xfId="0" applyNumberFormat="1" applyFont="1" applyAlignment="1">
      <alignment horizontal="center"/>
    </xf>
    <xf numFmtId="165" fontId="0" fillId="0" borderId="0" xfId="0" applyNumberFormat="1" applyAlignment="1">
      <alignment horizontal="center"/>
    </xf>
    <xf numFmtId="0" fontId="2" fillId="0" borderId="0" xfId="0" applyFont="1" applyBorder="1" applyAlignment="1"/>
    <xf numFmtId="0" fontId="2" fillId="0" borderId="4" xfId="0" applyFont="1" applyBorder="1" applyAlignment="1">
      <alignment horizontal="center"/>
    </xf>
    <xf numFmtId="0" fontId="2" fillId="0" borderId="5" xfId="0" applyFont="1" applyBorder="1" applyAlignment="1">
      <alignment horizontal="center"/>
    </xf>
    <xf numFmtId="0" fontId="2" fillId="0" borderId="8" xfId="0" applyFont="1" applyBorder="1" applyAlignment="1">
      <alignment horizontal="center"/>
    </xf>
    <xf numFmtId="49" fontId="2" fillId="0" borderId="9" xfId="0" applyNumberFormat="1" applyFont="1" applyBorder="1" applyAlignment="1">
      <alignment horizontal="center"/>
    </xf>
    <xf numFmtId="2" fontId="0" fillId="0" borderId="0" xfId="0" applyNumberFormat="1" applyAlignment="1">
      <alignment horizontal="center"/>
    </xf>
    <xf numFmtId="0" fontId="0" fillId="0" borderId="12" xfId="0" applyBorder="1" applyAlignment="1">
      <alignment horizontal="center"/>
    </xf>
    <xf numFmtId="0" fontId="2" fillId="0" borderId="0" xfId="0" applyFont="1" applyAlignment="1">
      <alignment horizontal="center"/>
    </xf>
    <xf numFmtId="0" fontId="0" fillId="0" borderId="0" xfId="0" applyAlignment="1">
      <alignment horizontal="center"/>
    </xf>
    <xf numFmtId="0" fontId="6" fillId="0" borderId="0" xfId="0" applyFont="1" applyAlignment="1">
      <alignment horizontal="center"/>
    </xf>
    <xf numFmtId="0" fontId="0" fillId="2" borderId="0" xfId="0" applyFill="1" applyAlignment="1">
      <alignment horizontal="center"/>
    </xf>
    <xf numFmtId="167" fontId="0" fillId="3" borderId="13" xfId="0" applyNumberFormat="1" applyFill="1" applyBorder="1" applyAlignment="1">
      <alignment horizontal="center"/>
    </xf>
    <xf numFmtId="0" fontId="0" fillId="0" borderId="17" xfId="0" applyBorder="1" applyAlignment="1">
      <alignment horizontal="center"/>
    </xf>
    <xf numFmtId="0" fontId="2" fillId="0" borderId="0" xfId="0" applyFont="1" applyAlignment="1">
      <alignment horizontal="center"/>
    </xf>
    <xf numFmtId="0" fontId="0" fillId="0" borderId="0" xfId="0"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3" fillId="4" borderId="23" xfId="0" applyFont="1" applyFill="1" applyBorder="1" applyAlignment="1">
      <alignment horizontal="center"/>
    </xf>
    <xf numFmtId="0" fontId="0" fillId="4" borderId="19" xfId="0" applyFill="1" applyBorder="1" applyAlignment="1">
      <alignment horizontal="center"/>
    </xf>
    <xf numFmtId="0" fontId="0" fillId="4" borderId="24" xfId="0" applyFill="1" applyBorder="1" applyAlignment="1">
      <alignment horizontal="center"/>
    </xf>
    <xf numFmtId="0" fontId="2" fillId="0" borderId="0" xfId="0" applyFont="1" applyAlignment="1">
      <alignment horizontal="center"/>
    </xf>
    <xf numFmtId="0" fontId="0" fillId="0" borderId="0" xfId="0" applyAlignment="1">
      <alignment horizontal="center"/>
    </xf>
    <xf numFmtId="0" fontId="0" fillId="0" borderId="0" xfId="0" applyFont="1" applyProtection="1">
      <protection locked="0"/>
    </xf>
    <xf numFmtId="0" fontId="2" fillId="0" borderId="0" xfId="0" applyFont="1" applyAlignment="1" applyProtection="1">
      <alignment horizontal="center"/>
      <protection locked="0"/>
    </xf>
    <xf numFmtId="2" fontId="10" fillId="0" borderId="0" xfId="0" applyNumberFormat="1" applyFont="1" applyBorder="1" applyAlignment="1" applyProtection="1">
      <alignment horizontal="center"/>
    </xf>
    <xf numFmtId="1" fontId="10" fillId="0" borderId="0" xfId="0" applyNumberFormat="1" applyFont="1" applyBorder="1" applyAlignment="1" applyProtection="1">
      <alignment horizontal="center"/>
    </xf>
    <xf numFmtId="1" fontId="10" fillId="0" borderId="0" xfId="0" applyNumberFormat="1" applyFont="1" applyFill="1" applyBorder="1" applyAlignment="1" applyProtection="1">
      <alignment horizontal="center"/>
    </xf>
    <xf numFmtId="0" fontId="0" fillId="0" borderId="0" xfId="0" applyFont="1" applyProtection="1"/>
    <xf numFmtId="0" fontId="1" fillId="0" borderId="0" xfId="0" applyFont="1" applyProtection="1"/>
    <xf numFmtId="0" fontId="9" fillId="0" borderId="1" xfId="0" applyFont="1" applyBorder="1" applyAlignment="1" applyProtection="1">
      <alignment horizontal="center"/>
    </xf>
    <xf numFmtId="2" fontId="9" fillId="0" borderId="1" xfId="0" applyNumberFormat="1" applyFont="1" applyBorder="1" applyAlignment="1" applyProtection="1">
      <alignment horizontal="center"/>
    </xf>
    <xf numFmtId="1" fontId="9" fillId="0" borderId="1" xfId="0" applyNumberFormat="1" applyFont="1" applyBorder="1" applyAlignment="1" applyProtection="1">
      <alignment horizontal="center"/>
    </xf>
    <xf numFmtId="0" fontId="0" fillId="2" borderId="10" xfId="0" applyFill="1" applyBorder="1" applyAlignment="1" applyProtection="1">
      <alignment horizontal="center"/>
      <protection locked="0"/>
    </xf>
    <xf numFmtId="9" fontId="0" fillId="2" borderId="18" xfId="29" applyFont="1" applyFill="1" applyBorder="1" applyAlignment="1" applyProtection="1">
      <alignment horizontal="center"/>
      <protection locked="0"/>
    </xf>
    <xf numFmtId="1" fontId="0" fillId="2" borderId="18" xfId="0" applyNumberFormat="1" applyFill="1" applyBorder="1" applyAlignment="1" applyProtection="1">
      <alignment horizontal="center"/>
      <protection locked="0"/>
    </xf>
    <xf numFmtId="0" fontId="15" fillId="0" borderId="31" xfId="0" applyFont="1" applyBorder="1" applyAlignment="1" applyProtection="1">
      <alignment horizontal="center"/>
    </xf>
    <xf numFmtId="0" fontId="15" fillId="0" borderId="33" xfId="0" applyFont="1" applyBorder="1" applyAlignment="1" applyProtection="1">
      <alignment horizontal="center"/>
    </xf>
    <xf numFmtId="0" fontId="14" fillId="0" borderId="33" xfId="0" applyFont="1" applyFill="1" applyBorder="1" applyAlignment="1" applyProtection="1">
      <alignment horizontal="center"/>
    </xf>
    <xf numFmtId="0" fontId="15" fillId="0" borderId="24" xfId="0" applyFont="1" applyBorder="1" applyAlignment="1" applyProtection="1">
      <alignment horizontal="center"/>
    </xf>
    <xf numFmtId="2" fontId="11" fillId="0" borderId="35" xfId="0" applyNumberFormat="1" applyFont="1" applyBorder="1" applyAlignment="1" applyProtection="1">
      <alignment horizontal="center"/>
    </xf>
    <xf numFmtId="1" fontId="11" fillId="0" borderId="36" xfId="0" applyNumberFormat="1" applyFont="1" applyBorder="1" applyAlignment="1" applyProtection="1">
      <alignment horizontal="center"/>
    </xf>
    <xf numFmtId="2" fontId="12" fillId="0" borderId="37" xfId="0" applyNumberFormat="1" applyFont="1" applyBorder="1" applyAlignment="1" applyProtection="1">
      <alignment horizontal="center"/>
    </xf>
    <xf numFmtId="164" fontId="12" fillId="0" borderId="38" xfId="0" applyNumberFormat="1" applyFont="1" applyBorder="1" applyAlignment="1" applyProtection="1">
      <alignment horizontal="center"/>
    </xf>
    <xf numFmtId="0" fontId="2" fillId="0" borderId="50" xfId="0" applyFont="1" applyBorder="1" applyAlignment="1">
      <alignment horizontal="center"/>
    </xf>
    <xf numFmtId="0" fontId="0" fillId="2" borderId="18" xfId="0" applyFill="1" applyBorder="1" applyAlignment="1">
      <alignment horizontal="center"/>
    </xf>
    <xf numFmtId="0" fontId="2" fillId="0" borderId="51" xfId="0" applyFont="1" applyBorder="1" applyAlignment="1">
      <alignment horizontal="center"/>
    </xf>
    <xf numFmtId="0" fontId="0" fillId="2" borderId="24" xfId="0" applyFill="1" applyBorder="1" applyAlignment="1">
      <alignment horizontal="center"/>
    </xf>
    <xf numFmtId="0" fontId="21" fillId="0" borderId="0" xfId="0" applyFont="1" applyProtection="1">
      <protection locked="0"/>
    </xf>
    <xf numFmtId="0" fontId="0" fillId="0" borderId="0" xfId="0" applyAlignment="1">
      <alignment horizontal="center"/>
    </xf>
    <xf numFmtId="0" fontId="18" fillId="0" borderId="41" xfId="0" applyFont="1" applyBorder="1" applyAlignment="1" applyProtection="1">
      <alignment horizontal="center" vertical="center"/>
      <protection locked="0"/>
    </xf>
    <xf numFmtId="0" fontId="0" fillId="0" borderId="0" xfId="0" applyAlignment="1">
      <alignment horizontal="center"/>
    </xf>
    <xf numFmtId="14" fontId="0" fillId="0" borderId="0" xfId="0" applyNumberFormat="1" applyAlignment="1">
      <alignment horizontal="center"/>
    </xf>
    <xf numFmtId="14" fontId="0" fillId="0" borderId="0" xfId="0" applyNumberFormat="1"/>
    <xf numFmtId="0" fontId="0" fillId="2" borderId="6" xfId="0" applyNumberFormat="1" applyFill="1" applyBorder="1" applyAlignment="1" applyProtection="1">
      <alignment horizontal="center"/>
      <protection locked="0"/>
    </xf>
    <xf numFmtId="0" fontId="9" fillId="0" borderId="0" xfId="0" applyFont="1" applyBorder="1" applyAlignment="1" applyProtection="1">
      <alignment horizontal="center"/>
    </xf>
    <xf numFmtId="2" fontId="0" fillId="0" borderId="0" xfId="0" applyNumberFormat="1"/>
    <xf numFmtId="49" fontId="18" fillId="0" borderId="42" xfId="0" applyNumberFormat="1" applyFont="1" applyBorder="1" applyAlignment="1" applyProtection="1">
      <alignment horizontal="center" vertical="center"/>
      <protection locked="0"/>
    </xf>
    <xf numFmtId="0" fontId="0" fillId="0" borderId="0" xfId="0" applyAlignment="1">
      <alignment horizontal="center"/>
    </xf>
    <xf numFmtId="0" fontId="0" fillId="0" borderId="0" xfId="0" applyFill="1" applyBorder="1" applyAlignment="1">
      <alignment horizontal="center"/>
    </xf>
    <xf numFmtId="0" fontId="5" fillId="0" borderId="0" xfId="50"/>
    <xf numFmtId="0" fontId="0" fillId="0" borderId="0" xfId="0" applyBorder="1" applyAlignment="1">
      <alignment horizontal="center"/>
    </xf>
    <xf numFmtId="0" fontId="0" fillId="0" borderId="50" xfId="0" applyFill="1" applyBorder="1" applyAlignment="1">
      <alignment horizontal="center"/>
    </xf>
    <xf numFmtId="167" fontId="0" fillId="0" borderId="0" xfId="0" applyNumberFormat="1" applyFill="1" applyBorder="1" applyAlignment="1">
      <alignment horizontal="center"/>
    </xf>
    <xf numFmtId="0" fontId="0" fillId="0" borderId="50" xfId="0" applyBorder="1" applyAlignment="1">
      <alignment horizontal="center"/>
    </xf>
    <xf numFmtId="0" fontId="0" fillId="4" borderId="18" xfId="0" applyFill="1" applyBorder="1" applyAlignment="1">
      <alignment horizontal="center"/>
    </xf>
    <xf numFmtId="0" fontId="23" fillId="0" borderId="16" xfId="0" applyFont="1" applyBorder="1" applyAlignment="1">
      <alignment horizontal="center"/>
    </xf>
    <xf numFmtId="0" fontId="0" fillId="0" borderId="0" xfId="0" applyFont="1" applyAlignment="1" applyProtection="1">
      <alignment horizontal="center"/>
      <protection locked="0"/>
    </xf>
    <xf numFmtId="0" fontId="0" fillId="0" borderId="0" xfId="0" quotePrefix="1" applyFont="1" applyAlignment="1" applyProtection="1">
      <alignment horizontal="center"/>
      <protection locked="0"/>
    </xf>
    <xf numFmtId="0" fontId="16" fillId="0" borderId="44" xfId="0" applyFont="1" applyBorder="1" applyAlignment="1" applyProtection="1">
      <alignment horizontal="center"/>
      <protection locked="0"/>
    </xf>
    <xf numFmtId="0" fontId="16" fillId="0" borderId="45" xfId="0" applyFont="1" applyBorder="1" applyAlignment="1" applyProtection="1">
      <alignment horizontal="center"/>
      <protection locked="0"/>
    </xf>
    <xf numFmtId="0" fontId="0" fillId="0" borderId="0" xfId="0" applyFont="1" applyAlignment="1" applyProtection="1">
      <alignment horizontal="right"/>
      <protection locked="0"/>
    </xf>
    <xf numFmtId="164" fontId="3" fillId="0" borderId="0" xfId="0" applyNumberFormat="1" applyFont="1" applyBorder="1" applyAlignment="1" applyProtection="1">
      <alignment horizontal="center"/>
    </xf>
    <xf numFmtId="2" fontId="0" fillId="0" borderId="0" xfId="0" applyNumberFormat="1" applyFont="1" applyProtection="1">
      <protection locked="0"/>
    </xf>
    <xf numFmtId="0" fontId="24" fillId="0" borderId="0" xfId="0" applyFont="1"/>
    <xf numFmtId="2" fontId="25" fillId="0" borderId="46" xfId="0" applyNumberFormat="1" applyFont="1" applyBorder="1" applyAlignment="1" applyProtection="1">
      <alignment horizontal="center"/>
      <protection locked="0"/>
    </xf>
    <xf numFmtId="1" fontId="25" fillId="0" borderId="47" xfId="0" applyNumberFormat="1" applyFont="1" applyBorder="1" applyAlignment="1" applyProtection="1">
      <alignment horizontal="center"/>
      <protection locked="0"/>
    </xf>
    <xf numFmtId="0" fontId="0" fillId="0" borderId="0" xfId="0" applyAlignment="1">
      <alignment horizontal="center"/>
    </xf>
    <xf numFmtId="0" fontId="0" fillId="2" borderId="52" xfId="0" applyFill="1" applyBorder="1"/>
    <xf numFmtId="166" fontId="0" fillId="3" borderId="7" xfId="0" applyNumberFormat="1" applyFill="1" applyBorder="1" applyAlignment="1">
      <alignment horizontal="center"/>
    </xf>
    <xf numFmtId="0" fontId="0" fillId="3" borderId="11" xfId="0" applyFill="1" applyBorder="1" applyAlignment="1">
      <alignment horizontal="center"/>
    </xf>
    <xf numFmtId="0" fontId="9" fillId="0" borderId="48" xfId="0" applyFont="1" applyBorder="1" applyAlignment="1" applyProtection="1">
      <alignment horizontal="center"/>
    </xf>
    <xf numFmtId="0" fontId="9" fillId="0" borderId="51" xfId="0" applyFont="1" applyBorder="1" applyAlignment="1" applyProtection="1">
      <alignment horizontal="center"/>
    </xf>
    <xf numFmtId="10" fontId="27" fillId="0" borderId="0" xfId="0" applyNumberFormat="1" applyFont="1" applyAlignment="1" applyProtection="1">
      <alignment horizontal="center"/>
      <protection locked="0"/>
    </xf>
    <xf numFmtId="0" fontId="27" fillId="0" borderId="0" xfId="0" applyFont="1" applyAlignment="1" applyProtection="1">
      <alignment horizontal="center"/>
      <protection locked="0"/>
    </xf>
    <xf numFmtId="0" fontId="15" fillId="0" borderId="34" xfId="0" applyFont="1" applyBorder="1" applyAlignment="1" applyProtection="1">
      <alignment horizontal="center"/>
    </xf>
    <xf numFmtId="0" fontId="15" fillId="0" borderId="19" xfId="0" applyFont="1" applyBorder="1" applyAlignment="1" applyProtection="1">
      <alignment horizontal="center"/>
    </xf>
    <xf numFmtId="0" fontId="18" fillId="0" borderId="35" xfId="0" applyFont="1" applyBorder="1" applyAlignment="1" applyProtection="1">
      <alignment horizontal="center" vertical="center"/>
      <protection locked="0"/>
    </xf>
    <xf numFmtId="0" fontId="18" fillId="0" borderId="40" xfId="0" applyFont="1" applyBorder="1" applyAlignment="1" applyProtection="1">
      <alignment horizontal="center" vertical="center"/>
      <protection locked="0"/>
    </xf>
    <xf numFmtId="0" fontId="18" fillId="0" borderId="41" xfId="0" applyFont="1" applyBorder="1" applyAlignment="1" applyProtection="1">
      <alignment horizontal="center" vertical="center"/>
      <protection locked="0"/>
    </xf>
    <xf numFmtId="0" fontId="18" fillId="0" borderId="42" xfId="0" applyFont="1" applyBorder="1" applyAlignment="1" applyProtection="1">
      <alignment horizontal="center" vertical="center"/>
      <protection locked="0"/>
    </xf>
    <xf numFmtId="0" fontId="15" fillId="0" borderId="32" xfId="0" applyFont="1" applyBorder="1" applyAlignment="1" applyProtection="1">
      <alignment horizontal="center"/>
    </xf>
    <xf numFmtId="0" fontId="15" fillId="0" borderId="0" xfId="0" applyFont="1" applyBorder="1" applyAlignment="1" applyProtection="1">
      <alignment horizontal="center"/>
    </xf>
    <xf numFmtId="0" fontId="14" fillId="0" borderId="32" xfId="0" applyFont="1" applyFill="1" applyBorder="1" applyAlignment="1" applyProtection="1">
      <alignment horizontal="center"/>
    </xf>
    <xf numFmtId="0" fontId="14" fillId="0" borderId="0" xfId="0" applyFont="1" applyFill="1" applyBorder="1" applyAlignment="1" applyProtection="1">
      <alignment horizontal="center"/>
    </xf>
    <xf numFmtId="169" fontId="18" fillId="0" borderId="41" xfId="0" applyNumberFormat="1" applyFont="1" applyBorder="1" applyAlignment="1" applyProtection="1">
      <alignment horizontal="center" vertical="center"/>
      <protection locked="0"/>
    </xf>
    <xf numFmtId="169" fontId="18" fillId="0" borderId="42" xfId="0" applyNumberFormat="1" applyFont="1" applyBorder="1" applyAlignment="1" applyProtection="1">
      <alignment horizontal="center" vertical="center"/>
      <protection locked="0"/>
    </xf>
    <xf numFmtId="169" fontId="18" fillId="0" borderId="37" xfId="0" applyNumberFormat="1" applyFont="1" applyBorder="1" applyAlignment="1" applyProtection="1">
      <alignment horizontal="center" vertical="center"/>
      <protection locked="0"/>
    </xf>
    <xf numFmtId="169" fontId="18" fillId="0" borderId="43" xfId="0" applyNumberFormat="1" applyFont="1" applyBorder="1" applyAlignment="1" applyProtection="1">
      <alignment horizontal="center" vertical="center"/>
      <protection locked="0"/>
    </xf>
    <xf numFmtId="0" fontId="15" fillId="0" borderId="29" xfId="0" applyFont="1" applyBorder="1" applyAlignment="1" applyProtection="1">
      <alignment horizontal="center"/>
    </xf>
    <xf numFmtId="0" fontId="15" fillId="0" borderId="30" xfId="0" applyFont="1" applyBorder="1" applyAlignment="1" applyProtection="1">
      <alignment horizontal="center"/>
    </xf>
    <xf numFmtId="0" fontId="16" fillId="0" borderId="39" xfId="0" applyFont="1" applyBorder="1" applyAlignment="1" applyProtection="1">
      <alignment horizontal="center"/>
    </xf>
    <xf numFmtId="9" fontId="17" fillId="0" borderId="0" xfId="29" applyFont="1" applyAlignment="1" applyProtection="1">
      <alignment horizontal="center"/>
    </xf>
    <xf numFmtId="0" fontId="19" fillId="0" borderId="48" xfId="0" applyFont="1" applyBorder="1" applyAlignment="1" applyProtection="1">
      <alignment horizontal="center" wrapText="1"/>
    </xf>
    <xf numFmtId="0" fontId="19" fillId="0" borderId="49" xfId="0" applyFont="1" applyBorder="1" applyAlignment="1" applyProtection="1">
      <alignment horizontal="center" wrapText="1"/>
    </xf>
    <xf numFmtId="0" fontId="19" fillId="0" borderId="32" xfId="0" applyFont="1" applyBorder="1" applyAlignment="1" applyProtection="1">
      <alignment horizontal="center"/>
    </xf>
    <xf numFmtId="0" fontId="19" fillId="0" borderId="33" xfId="0" applyFont="1" applyBorder="1" applyAlignment="1" applyProtection="1">
      <alignment horizontal="center"/>
    </xf>
    <xf numFmtId="10" fontId="20" fillId="0" borderId="34" xfId="29" applyNumberFormat="1" applyFont="1" applyBorder="1" applyAlignment="1" applyProtection="1">
      <alignment horizontal="center"/>
    </xf>
    <xf numFmtId="10" fontId="20" fillId="0" borderId="24" xfId="29" applyNumberFormat="1" applyFont="1" applyBorder="1" applyAlignment="1" applyProtection="1">
      <alignment horizontal="center"/>
    </xf>
    <xf numFmtId="0" fontId="1" fillId="0" borderId="34" xfId="0" applyFont="1" applyBorder="1" applyAlignment="1" applyProtection="1">
      <alignment horizontal="center"/>
    </xf>
    <xf numFmtId="0" fontId="1" fillId="0" borderId="24" xfId="0" applyFont="1" applyBorder="1" applyAlignment="1" applyProtection="1">
      <alignment horizontal="center"/>
    </xf>
    <xf numFmtId="0" fontId="14" fillId="0" borderId="19" xfId="0" applyFont="1" applyBorder="1" applyAlignment="1" applyProtection="1">
      <alignment horizontal="center"/>
    </xf>
    <xf numFmtId="0" fontId="0" fillId="0" borderId="19" xfId="0" applyBorder="1" applyAlignment="1">
      <alignment horizontal="center"/>
    </xf>
    <xf numFmtId="0" fontId="8" fillId="3" borderId="0" xfId="0" applyFont="1" applyFill="1" applyAlignment="1">
      <alignment horizontal="center"/>
    </xf>
    <xf numFmtId="0" fontId="8" fillId="2" borderId="0" xfId="0" applyFont="1" applyFill="1" applyAlignment="1">
      <alignment horizontal="center"/>
    </xf>
    <xf numFmtId="0" fontId="8" fillId="4" borderId="0" xfId="0" applyFont="1" applyFill="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14" xfId="0" applyFont="1" applyBorder="1" applyAlignment="1">
      <alignment horizontal="center"/>
    </xf>
    <xf numFmtId="0" fontId="2" fillId="0" borderId="15" xfId="0" applyFont="1" applyBorder="1" applyAlignment="1">
      <alignment horizontal="center"/>
    </xf>
    <xf numFmtId="168" fontId="0" fillId="3" borderId="25" xfId="29" applyNumberFormat="1" applyFont="1" applyFill="1" applyBorder="1" applyAlignment="1">
      <alignment horizontal="center"/>
    </xf>
    <xf numFmtId="168" fontId="0" fillId="3" borderId="26" xfId="29" applyNumberFormat="1" applyFont="1" applyFill="1" applyBorder="1" applyAlignment="1">
      <alignment horizontal="center"/>
    </xf>
    <xf numFmtId="0" fontId="8" fillId="0" borderId="27" xfId="0" applyFont="1" applyBorder="1" applyAlignment="1">
      <alignment horizontal="center"/>
    </xf>
    <xf numFmtId="0" fontId="8" fillId="0" borderId="28" xfId="0" applyFont="1" applyBorder="1" applyAlignment="1">
      <alignment horizontal="center"/>
    </xf>
  </cellXfs>
  <cellStyles count="51">
    <cellStyle name="Followed Hyperlink" xfId="38" builtinId="9" hidden="1"/>
    <cellStyle name="Followed Hyperlink" xfId="17" builtinId="9" hidden="1"/>
    <cellStyle name="Followed Hyperlink" xfId="27" builtinId="9" hidden="1"/>
    <cellStyle name="Followed Hyperlink" xfId="3" builtinId="9" hidden="1"/>
    <cellStyle name="Followed Hyperlink" xfId="36" builtinId="9" hidden="1"/>
    <cellStyle name="Followed Hyperlink" xfId="44" builtinId="9" hidden="1"/>
    <cellStyle name="Followed Hyperlink" xfId="5" builtinId="9" hidden="1"/>
    <cellStyle name="Followed Hyperlink" xfId="42" builtinId="9" hidden="1"/>
    <cellStyle name="Followed Hyperlink" xfId="34" builtinId="9" hidden="1"/>
    <cellStyle name="Followed Hyperlink" xfId="15" builtinId="9" hidden="1"/>
    <cellStyle name="Followed Hyperlink" xfId="46" builtinId="9" hidden="1"/>
    <cellStyle name="Followed Hyperlink" xfId="40" builtinId="9" hidden="1"/>
    <cellStyle name="Followed Hyperlink" xfId="1" builtinId="9" hidden="1"/>
    <cellStyle name="Followed Hyperlink" xfId="7" builtinId="9" hidden="1"/>
    <cellStyle name="Followed Hyperlink" xfId="9" builtinId="9" hidden="1"/>
    <cellStyle name="Followed Hyperlink" xfId="11" builtinId="9" hidden="1"/>
    <cellStyle name="Followed Hyperlink" xfId="23" builtinId="9" hidden="1"/>
    <cellStyle name="Followed Hyperlink" xfId="21" builtinId="9" hidden="1"/>
    <cellStyle name="Followed Hyperlink" xfId="30" builtinId="9" hidden="1"/>
    <cellStyle name="Followed Hyperlink" xfId="32" builtinId="9" hidden="1"/>
    <cellStyle name="Followed Hyperlink" xfId="48" builtinId="9" hidden="1"/>
    <cellStyle name="Followed Hyperlink" xfId="25" builtinId="9" hidden="1"/>
    <cellStyle name="Followed Hyperlink" xfId="13" builtinId="9" hidden="1"/>
    <cellStyle name="Followed Hyperlink" xfId="19" builtinId="9" hidden="1"/>
    <cellStyle name="Hyperlink" xfId="26" builtinId="8" hidden="1"/>
    <cellStyle name="Hyperlink" xfId="43" builtinId="8" hidden="1"/>
    <cellStyle name="Hyperlink" xfId="49" builtinId="8" hidden="1"/>
    <cellStyle name="Hyperlink" xfId="47" builtinId="8" hidden="1"/>
    <cellStyle name="Hyperlink" xfId="4" builtinId="8" hidden="1"/>
    <cellStyle name="Hyperlink" xfId="10" builtinId="8" hidden="1"/>
    <cellStyle name="Hyperlink" xfId="12" builtinId="8" hidden="1"/>
    <cellStyle name="Hyperlink" xfId="37" builtinId="8" hidden="1"/>
    <cellStyle name="Hyperlink" xfId="14" builtinId="8" hidden="1"/>
    <cellStyle name="Hyperlink" xfId="6" builtinId="8" hidden="1"/>
    <cellStyle name="Hyperlink" xfId="8" builtinId="8" hidden="1"/>
    <cellStyle name="Hyperlink" xfId="45" builtinId="8" hidden="1"/>
    <cellStyle name="Hyperlink" xfId="16" builtinId="8" hidden="1"/>
    <cellStyle name="Hyperlink" xfId="31" builtinId="8" hidden="1"/>
    <cellStyle name="Hyperlink" xfId="41" builtinId="8" hidden="1"/>
    <cellStyle name="Hyperlink" xfId="33" builtinId="8" hidden="1"/>
    <cellStyle name="Hyperlink" xfId="20" builtinId="8" hidden="1"/>
    <cellStyle name="Hyperlink" xfId="2" builtinId="8" hidden="1"/>
    <cellStyle name="Hyperlink" xfId="35" builtinId="8" hidden="1"/>
    <cellStyle name="Hyperlink" xfId="28" builtinId="8" hidden="1"/>
    <cellStyle name="Hyperlink" xfId="24" builtinId="8" hidden="1"/>
    <cellStyle name="Hyperlink" xfId="22" builtinId="8" hidden="1"/>
    <cellStyle name="Hyperlink" xfId="18" builtinId="8" hidden="1"/>
    <cellStyle name="Hyperlink" xfId="39" builtinId="8" hidden="1"/>
    <cellStyle name="Hyperlink" xfId="50" builtinId="8"/>
    <cellStyle name="Normal" xfId="0" builtinId="0"/>
    <cellStyle name="Percent" xfId="29" builtinId="5"/>
  </cellStyles>
  <dxfs count="26">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4" tint="0.79998168889431442"/>
        </patternFill>
      </fill>
    </dxf>
    <dxf>
      <font>
        <color theme="9" tint="-0.24994659260841701"/>
      </font>
      <fill>
        <patternFill patternType="none">
          <bgColor auto="1"/>
        </patternFill>
      </fill>
    </dxf>
    <dxf>
      <font>
        <color rgb="FFFF0000"/>
      </font>
      <fill>
        <patternFill patternType="none">
          <bgColor auto="1"/>
        </patternFill>
      </fill>
    </dxf>
    <dxf>
      <font>
        <color theme="8"/>
      </font>
      <fill>
        <patternFill patternType="none">
          <bgColor auto="1"/>
        </patternFill>
      </fill>
    </dxf>
    <dxf>
      <font>
        <color theme="0"/>
      </font>
    </dxf>
    <dxf>
      <font>
        <color rgb="FFFF0000"/>
      </font>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theme="0"/>
        </patternFill>
      </fill>
    </dxf>
    <dxf>
      <font>
        <color theme="1"/>
      </font>
      <fill>
        <patternFill patternType="none">
          <bgColor auto="1"/>
        </patternFill>
      </fill>
    </dxf>
  </dxfs>
  <tableStyles count="0" defaultTableStyle="TableStyleMedium2" defaultPivotStyle="PivotStyleLight16"/>
  <colors>
    <mruColors>
      <color rgb="FFFF0000"/>
      <color rgb="FFFFFF99"/>
      <color rgb="FFF8F8F8"/>
      <color rgb="FFFFEAA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haredStrings" Target="sharedStrings.xml"/><Relationship Id="rId5" Type="http://schemas.openxmlformats.org/officeDocument/2006/relationships/chartsheet" Target="chartsheets/sheet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0138669438822547E-2"/>
          <c:y val="2.1358323323907052E-2"/>
          <c:w val="0.85247402065353239"/>
          <c:h val="0.89856850688643475"/>
        </c:manualLayout>
      </c:layout>
      <c:scatterChart>
        <c:scatterStyle val="lineMarker"/>
        <c:varyColors val="0"/>
        <c:ser>
          <c:idx val="0"/>
          <c:order val="0"/>
          <c:tx>
            <c:v>Horsepower</c:v>
          </c:tx>
          <c:spPr>
            <a:ln w="25400" cap="rnd">
              <a:noFill/>
              <a:round/>
            </a:ln>
            <a:effectLst/>
          </c:spPr>
          <c:marker>
            <c:symbol val="circle"/>
            <c:size val="5"/>
            <c:spPr>
              <a:solidFill>
                <a:schemeClr val="accent1"/>
              </a:solidFill>
              <a:ln w="9525">
                <a:solidFill>
                  <a:schemeClr val="accent1"/>
                </a:solidFill>
              </a:ln>
              <a:effectLst/>
            </c:spPr>
          </c:marker>
          <c:xVal>
            <c:numRef>
              <c:f>Calculations!$E$2:$E$500</c:f>
              <c:numCache>
                <c:formatCode>0</c:formatCode>
                <c:ptCount val="499"/>
                <c:pt idx="0">
                  <c:v>755.19868827160485</c:v>
                </c:pt>
                <c:pt idx="1">
                  <c:v>854.56693672839504</c:v>
                </c:pt>
                <c:pt idx="2">
                  <c:v>914.18788580246905</c:v>
                </c:pt>
                <c:pt idx="3">
                  <c:v>953.93518518518511</c:v>
                </c:pt>
                <c:pt idx="4">
                  <c:v>993.68248456790116</c:v>
                </c:pt>
                <c:pt idx="5">
                  <c:v>1033.4297839506173</c:v>
                </c:pt>
                <c:pt idx="6">
                  <c:v>1112.9243827160494</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numCache>
            </c:numRef>
          </c:xVal>
          <c:yVal>
            <c:numRef>
              <c:f>Calculations!$C$2:$C$500</c:f>
              <c:numCache>
                <c:formatCode>0.00</c:formatCode>
                <c:ptCount val="499"/>
                <c:pt idx="0">
                  <c:v>21.519752469925777</c:v>
                </c:pt>
                <c:pt idx="1">
                  <c:v>24.351298847547593</c:v>
                </c:pt>
                <c:pt idx="2">
                  <c:v>25.616056229551997</c:v>
                </c:pt>
                <c:pt idx="3">
                  <c:v>26.05022667412068</c:v>
                </c:pt>
                <c:pt idx="4">
                  <c:v>24.77603080419086</c:v>
                </c:pt>
                <c:pt idx="5">
                  <c:v>29.938883699387969</c:v>
                </c:pt>
                <c:pt idx="6">
                  <c:v>30.391931119807452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numCache>
            </c:numRef>
          </c:yVal>
          <c:smooth val="0"/>
          <c:extLst>
            <c:ext xmlns:c16="http://schemas.microsoft.com/office/drawing/2014/chart" uri="{C3380CC4-5D6E-409C-BE32-E72D297353CC}">
              <c16:uniqueId val="{00000001-9982-4EBF-A9A8-4514DB1D43BD}"/>
            </c:ext>
          </c:extLst>
        </c:ser>
        <c:dLbls>
          <c:showLegendKey val="0"/>
          <c:showVal val="0"/>
          <c:showCatName val="0"/>
          <c:showSerName val="0"/>
          <c:showPercent val="0"/>
          <c:showBubbleSize val="0"/>
        </c:dLbls>
        <c:axId val="523267320"/>
        <c:axId val="523267648"/>
      </c:scatterChart>
      <c:scatterChart>
        <c:scatterStyle val="lineMarker"/>
        <c:varyColors val="0"/>
        <c:ser>
          <c:idx val="1"/>
          <c:order val="1"/>
          <c:tx>
            <c:v>Torque</c:v>
          </c:tx>
          <c:spPr>
            <a:ln w="25400" cap="rnd">
              <a:noFill/>
              <a:round/>
            </a:ln>
            <a:effectLst/>
          </c:spPr>
          <c:marker>
            <c:symbol val="circle"/>
            <c:size val="5"/>
            <c:spPr>
              <a:solidFill>
                <a:schemeClr val="accent2"/>
              </a:solidFill>
              <a:ln w="9525">
                <a:solidFill>
                  <a:schemeClr val="accent2"/>
                </a:solidFill>
              </a:ln>
              <a:effectLst/>
            </c:spPr>
          </c:marker>
          <c:xVal>
            <c:numRef>
              <c:f>Calculations!$E$2:$E$500</c:f>
              <c:numCache>
                <c:formatCode>0</c:formatCode>
                <c:ptCount val="499"/>
                <c:pt idx="0">
                  <c:v>755.19868827160485</c:v>
                </c:pt>
                <c:pt idx="1">
                  <c:v>854.56693672839504</c:v>
                </c:pt>
                <c:pt idx="2">
                  <c:v>914.18788580246905</c:v>
                </c:pt>
                <c:pt idx="3">
                  <c:v>953.93518518518511</c:v>
                </c:pt>
                <c:pt idx="4">
                  <c:v>993.68248456790116</c:v>
                </c:pt>
                <c:pt idx="5">
                  <c:v>1033.4297839506173</c:v>
                </c:pt>
                <c:pt idx="6">
                  <c:v>1112.9243827160494</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numCache>
            </c:numRef>
          </c:xVal>
          <c:yVal>
            <c:numRef>
              <c:f>Calculations!$D$2:$D$500</c:f>
              <c:numCache>
                <c:formatCode>0</c:formatCode>
                <c:ptCount val="499"/>
                <c:pt idx="0">
                  <c:v>149.66150774025272</c:v>
                </c:pt>
                <c:pt idx="1">
                  <c:v>149.66150774025272</c:v>
                </c:pt>
                <c:pt idx="2">
                  <c:v>147.16714927791514</c:v>
                </c:pt>
                <c:pt idx="3">
                  <c:v>143.42561158440884</c:v>
                </c:pt>
                <c:pt idx="4">
                  <c:v>130.95381927272109</c:v>
                </c:pt>
                <c:pt idx="5">
                  <c:v>152.15586620259023</c:v>
                </c:pt>
                <c:pt idx="6">
                  <c:v>143.42561158440884</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numCache>
            </c:numRef>
          </c:yVal>
          <c:smooth val="0"/>
          <c:extLst>
            <c:ext xmlns:c16="http://schemas.microsoft.com/office/drawing/2014/chart" uri="{C3380CC4-5D6E-409C-BE32-E72D297353CC}">
              <c16:uniqueId val="{00000002-9982-4EBF-A9A8-4514DB1D43BD}"/>
            </c:ext>
          </c:extLst>
        </c:ser>
        <c:ser>
          <c:idx val="2"/>
          <c:order val="2"/>
          <c:tx>
            <c:v>Speed</c:v>
          </c:tx>
          <c:spPr>
            <a:ln w="25400" cap="rnd">
              <a:noFill/>
              <a:round/>
            </a:ln>
            <a:effectLst/>
          </c:spPr>
          <c:marker>
            <c:symbol val="none"/>
          </c:marker>
          <c:errBars>
            <c:errDir val="y"/>
            <c:errBarType val="both"/>
            <c:errValType val="fixedVal"/>
            <c:noEndCap val="0"/>
            <c:val val="1000"/>
            <c:spPr>
              <a:noFill/>
              <a:ln w="9525" cap="flat" cmpd="sng" algn="ctr">
                <a:solidFill>
                  <a:schemeClr val="accent6">
                    <a:lumMod val="75000"/>
                  </a:schemeClr>
                </a:solidFill>
                <a:prstDash val="dash"/>
                <a:round/>
              </a:ln>
              <a:effectLst/>
            </c:spPr>
          </c:errBars>
          <c:errBars>
            <c:errDir val="x"/>
            <c:errBarType val="both"/>
            <c:errValType val="fixedVal"/>
            <c:noEndCap val="0"/>
            <c:val val="1"/>
            <c:spPr>
              <a:noFill/>
              <a:ln w="9525" cap="flat" cmpd="sng" algn="ctr">
                <a:solidFill>
                  <a:schemeClr val="tx1">
                    <a:lumMod val="65000"/>
                    <a:lumOff val="35000"/>
                  </a:schemeClr>
                </a:solidFill>
                <a:round/>
              </a:ln>
              <a:effectLst/>
            </c:spPr>
          </c:errBars>
          <c:xVal>
            <c:numRef>
              <c:f>Calculations!$I$10</c:f>
              <c:numCache>
                <c:formatCode>General</c:formatCode>
                <c:ptCount val="1"/>
              </c:numCache>
            </c:numRef>
          </c:xVal>
          <c:yVal>
            <c:numLit>
              <c:formatCode>General</c:formatCode>
              <c:ptCount val="1"/>
              <c:pt idx="0">
                <c:v>20</c:v>
              </c:pt>
            </c:numLit>
          </c:yVal>
          <c:smooth val="0"/>
          <c:extLst>
            <c:ext xmlns:c16="http://schemas.microsoft.com/office/drawing/2014/chart" uri="{C3380CC4-5D6E-409C-BE32-E72D297353CC}">
              <c16:uniqueId val="{00000003-AE94-46FF-B6FE-3E81C6CD5CC5}"/>
            </c:ext>
          </c:extLst>
        </c:ser>
        <c:ser>
          <c:idx val="3"/>
          <c:order val="3"/>
          <c:tx>
            <c:v>Vertical Line</c:v>
          </c:tx>
          <c:spPr>
            <a:ln w="25400" cap="rnd">
              <a:noFill/>
              <a:round/>
            </a:ln>
            <a:effectLst/>
          </c:spPr>
          <c:marker>
            <c:symbol val="none"/>
          </c:marker>
          <c:errBars>
            <c:errDir val="y"/>
            <c:errBarType val="both"/>
            <c:errValType val="fixedVal"/>
            <c:noEndCap val="0"/>
            <c:val val="500"/>
            <c:spPr>
              <a:noFill/>
              <a:ln w="9525" cap="flat" cmpd="sng" algn="ctr">
                <a:solidFill>
                  <a:schemeClr val="accent6"/>
                </a:solidFill>
                <a:prstDash val="dash"/>
                <a:round/>
              </a:ln>
              <a:effectLst/>
            </c:spPr>
          </c:errBars>
          <c:errBars>
            <c:errDir val="x"/>
            <c:errBarType val="both"/>
            <c:errValType val="fixedVal"/>
            <c:noEndCap val="0"/>
            <c:val val="1"/>
            <c:spPr>
              <a:noFill/>
              <a:ln w="9525" cap="flat" cmpd="sng" algn="ctr">
                <a:solidFill>
                  <a:schemeClr val="tx1">
                    <a:lumMod val="65000"/>
                    <a:lumOff val="35000"/>
                  </a:schemeClr>
                </a:solidFill>
                <a:round/>
              </a:ln>
              <a:effectLst/>
            </c:spPr>
          </c:errBars>
          <c:xVal>
            <c:numRef>
              <c:f>Calculations!$AD$1</c:f>
            </c:numRef>
          </c:xVal>
          <c:yVal>
            <c:numLit>
              <c:formatCode>General</c:formatCode>
              <c:ptCount val="1"/>
              <c:pt idx="0">
                <c:v>1</c:v>
              </c:pt>
            </c:numLit>
          </c:yVal>
          <c:smooth val="0"/>
          <c:extLst>
            <c:ext xmlns:c16="http://schemas.microsoft.com/office/drawing/2014/chart" uri="{C3380CC4-5D6E-409C-BE32-E72D297353CC}">
              <c16:uniqueId val="{00000001-9797-4CD7-A3AF-D7C52DC8DDCD}"/>
            </c:ext>
          </c:extLst>
        </c:ser>
        <c:ser>
          <c:idx val="4"/>
          <c:order val="4"/>
          <c:tx>
            <c:v>Horizontal Line</c:v>
          </c:tx>
          <c:spPr>
            <a:ln w="25400" cap="rnd">
              <a:noFill/>
              <a:round/>
            </a:ln>
            <a:effectLst/>
          </c:spPr>
          <c:marker>
            <c:symbol val="none"/>
          </c:marker>
          <c:errBars>
            <c:errDir val="x"/>
            <c:errBarType val="both"/>
            <c:errValType val="fixedVal"/>
            <c:noEndCap val="1"/>
            <c:val val="80"/>
            <c:spPr>
              <a:noFill/>
              <a:ln w="9525" cap="flat" cmpd="sng" algn="ctr">
                <a:solidFill>
                  <a:schemeClr val="accent6"/>
                </a:solidFill>
                <a:prstDash val="dash"/>
                <a:round/>
              </a:ln>
              <a:effectLst/>
            </c:spPr>
          </c:errBars>
          <c:errBars>
            <c:errDir val="y"/>
            <c:errBarType val="both"/>
            <c:errValType val="stdErr"/>
            <c:noEndCap val="0"/>
            <c:spPr>
              <a:noFill/>
              <a:ln w="9525" cap="flat" cmpd="sng" algn="ctr">
                <a:solidFill>
                  <a:schemeClr val="tx1">
                    <a:lumMod val="65000"/>
                    <a:lumOff val="35000"/>
                  </a:schemeClr>
                </a:solidFill>
                <a:round/>
              </a:ln>
              <a:effectLst/>
            </c:spPr>
          </c:errBars>
          <c:xVal>
            <c:numRef>
              <c:f>Calculations!$AD$1</c:f>
            </c:numRef>
          </c:xVal>
          <c:yVal>
            <c:numRef>
              <c:f>Calculations!$AD$2</c:f>
            </c:numRef>
          </c:yVal>
          <c:smooth val="0"/>
          <c:extLst>
            <c:ext xmlns:c16="http://schemas.microsoft.com/office/drawing/2014/chart" uri="{C3380CC4-5D6E-409C-BE32-E72D297353CC}">
              <c16:uniqueId val="{00000001-957E-4349-9F00-445FC6E7527A}"/>
            </c:ext>
          </c:extLst>
        </c:ser>
        <c:dLbls>
          <c:showLegendKey val="0"/>
          <c:showVal val="0"/>
          <c:showCatName val="0"/>
          <c:showSerName val="0"/>
          <c:showPercent val="0"/>
          <c:showBubbleSize val="0"/>
        </c:dLbls>
        <c:axId val="323360368"/>
        <c:axId val="188027544"/>
      </c:scatterChart>
      <c:valAx>
        <c:axId val="52326732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2000"/>
                  <a:t>Engine</a:t>
                </a:r>
                <a:r>
                  <a:rPr lang="en-US" sz="2000" baseline="0"/>
                  <a:t> </a:t>
                </a:r>
                <a:r>
                  <a:rPr lang="en-US" sz="2000"/>
                  <a:t>RPM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523267648"/>
        <c:crossesAt val="0"/>
        <c:crossBetween val="midCat"/>
        <c:majorUnit val="100"/>
      </c:valAx>
      <c:valAx>
        <c:axId val="52326764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accent5"/>
                    </a:solidFill>
                    <a:latin typeface="+mn-lt"/>
                    <a:ea typeface="+mn-ea"/>
                    <a:cs typeface="+mn-cs"/>
                  </a:defRPr>
                </a:pPr>
                <a:r>
                  <a:rPr lang="en-US" sz="2000">
                    <a:solidFill>
                      <a:schemeClr val="accent5"/>
                    </a:solidFill>
                  </a:rPr>
                  <a:t>Horsepower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accent5"/>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accent5"/>
                </a:solidFill>
                <a:latin typeface="+mn-lt"/>
                <a:ea typeface="+mn-ea"/>
                <a:cs typeface="+mn-cs"/>
              </a:defRPr>
            </a:pPr>
            <a:endParaRPr lang="en-US"/>
          </a:p>
        </c:txPr>
        <c:crossAx val="523267320"/>
        <c:crossesAt val="0"/>
        <c:crossBetween val="midCat"/>
      </c:valAx>
      <c:valAx>
        <c:axId val="188027544"/>
        <c:scaling>
          <c:orientation val="minMax"/>
          <c:max val="700"/>
          <c:min val="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2000">
                    <a:solidFill>
                      <a:schemeClr val="accent2">
                        <a:lumMod val="75000"/>
                      </a:schemeClr>
                    </a:solidFill>
                  </a:rPr>
                  <a:t>Torque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accent2">
                    <a:lumMod val="75000"/>
                  </a:schemeClr>
                </a:solidFill>
                <a:latin typeface="+mn-lt"/>
                <a:ea typeface="+mn-ea"/>
                <a:cs typeface="+mn-cs"/>
              </a:defRPr>
            </a:pPr>
            <a:endParaRPr lang="en-US"/>
          </a:p>
        </c:txPr>
        <c:crossAx val="323360368"/>
        <c:crosses val="max"/>
        <c:crossBetween val="midCat"/>
      </c:valAx>
      <c:valAx>
        <c:axId val="323360368"/>
        <c:scaling>
          <c:orientation val="minMax"/>
        </c:scaling>
        <c:delete val="1"/>
        <c:axPos val="b"/>
        <c:numFmt formatCode="0" sourceLinked="1"/>
        <c:majorTickMark val="out"/>
        <c:minorTickMark val="none"/>
        <c:tickLblPos val="nextTo"/>
        <c:crossAx val="188027544"/>
        <c:crossesAt val="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a:t>Bill Higgins's 1955 John Deere 60, 10/16/2021</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Horsepower</c:v>
          </c:tx>
          <c:spPr>
            <a:ln w="25400" cap="rnd">
              <a:noFill/>
              <a:round/>
            </a:ln>
            <a:effectLst/>
          </c:spPr>
          <c:marker>
            <c:symbol val="circle"/>
            <c:size val="5"/>
            <c:spPr>
              <a:solidFill>
                <a:schemeClr val="accent1"/>
              </a:solidFill>
              <a:ln w="9525">
                <a:solidFill>
                  <a:schemeClr val="accent1"/>
                </a:solidFill>
              </a:ln>
              <a:effectLst/>
            </c:spPr>
          </c:marker>
          <c:xVal>
            <c:numRef>
              <c:f>Calculations!$E$2:$E$500</c:f>
              <c:numCache>
                <c:formatCode>0</c:formatCode>
                <c:ptCount val="499"/>
                <c:pt idx="0">
                  <c:v>755.19868827160485</c:v>
                </c:pt>
                <c:pt idx="1">
                  <c:v>854.56693672839504</c:v>
                </c:pt>
                <c:pt idx="2">
                  <c:v>914.18788580246905</c:v>
                </c:pt>
                <c:pt idx="3">
                  <c:v>953.93518518518511</c:v>
                </c:pt>
                <c:pt idx="4">
                  <c:v>993.68248456790116</c:v>
                </c:pt>
                <c:pt idx="5">
                  <c:v>1033.4297839506173</c:v>
                </c:pt>
                <c:pt idx="6">
                  <c:v>1112.9243827160494</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numCache>
            </c:numRef>
          </c:xVal>
          <c:yVal>
            <c:numRef>
              <c:f>Calculations!$C$2:$C$500</c:f>
              <c:numCache>
                <c:formatCode>0.00</c:formatCode>
                <c:ptCount val="499"/>
                <c:pt idx="0">
                  <c:v>21.519752469925777</c:v>
                </c:pt>
                <c:pt idx="1">
                  <c:v>24.351298847547593</c:v>
                </c:pt>
                <c:pt idx="2">
                  <c:v>25.616056229551997</c:v>
                </c:pt>
                <c:pt idx="3">
                  <c:v>26.05022667412068</c:v>
                </c:pt>
                <c:pt idx="4">
                  <c:v>24.77603080419086</c:v>
                </c:pt>
                <c:pt idx="5">
                  <c:v>29.938883699387969</c:v>
                </c:pt>
                <c:pt idx="6">
                  <c:v>30.391931119807452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numCache>
            </c:numRef>
          </c:yVal>
          <c:smooth val="0"/>
          <c:extLst>
            <c:ext xmlns:c16="http://schemas.microsoft.com/office/drawing/2014/chart" uri="{C3380CC4-5D6E-409C-BE32-E72D297353CC}">
              <c16:uniqueId val="{00000000-4A0F-4994-A194-A55E3185B6DC}"/>
            </c:ext>
          </c:extLst>
        </c:ser>
        <c:dLbls>
          <c:showLegendKey val="0"/>
          <c:showVal val="0"/>
          <c:showCatName val="0"/>
          <c:showSerName val="0"/>
          <c:showPercent val="0"/>
          <c:showBubbleSize val="0"/>
        </c:dLbls>
        <c:axId val="523267320"/>
        <c:axId val="523267648"/>
      </c:scatterChart>
      <c:scatterChart>
        <c:scatterStyle val="lineMarker"/>
        <c:varyColors val="0"/>
        <c:ser>
          <c:idx val="1"/>
          <c:order val="1"/>
          <c:tx>
            <c:v>Torque</c:v>
          </c:tx>
          <c:spPr>
            <a:ln w="25400" cap="rnd">
              <a:noFill/>
              <a:round/>
            </a:ln>
            <a:effectLst/>
          </c:spPr>
          <c:marker>
            <c:symbol val="circle"/>
            <c:size val="5"/>
            <c:spPr>
              <a:solidFill>
                <a:schemeClr val="accent2"/>
              </a:solidFill>
              <a:ln w="9525">
                <a:solidFill>
                  <a:schemeClr val="accent2"/>
                </a:solidFill>
              </a:ln>
              <a:effectLst/>
            </c:spPr>
          </c:marker>
          <c:xVal>
            <c:numRef>
              <c:f>Calculations!$E$2:$E$500</c:f>
              <c:numCache>
                <c:formatCode>0</c:formatCode>
                <c:ptCount val="499"/>
                <c:pt idx="0">
                  <c:v>755.19868827160485</c:v>
                </c:pt>
                <c:pt idx="1">
                  <c:v>854.56693672839504</c:v>
                </c:pt>
                <c:pt idx="2">
                  <c:v>914.18788580246905</c:v>
                </c:pt>
                <c:pt idx="3">
                  <c:v>953.93518518518511</c:v>
                </c:pt>
                <c:pt idx="4">
                  <c:v>993.68248456790116</c:v>
                </c:pt>
                <c:pt idx="5">
                  <c:v>1033.4297839506173</c:v>
                </c:pt>
                <c:pt idx="6">
                  <c:v>1112.9243827160494</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numCache>
            </c:numRef>
          </c:xVal>
          <c:yVal>
            <c:numRef>
              <c:f>Calculations!$D$2:$D$500</c:f>
              <c:numCache>
                <c:formatCode>0</c:formatCode>
                <c:ptCount val="499"/>
                <c:pt idx="0">
                  <c:v>149.66150774025272</c:v>
                </c:pt>
                <c:pt idx="1">
                  <c:v>149.66150774025272</c:v>
                </c:pt>
                <c:pt idx="2">
                  <c:v>147.16714927791514</c:v>
                </c:pt>
                <c:pt idx="3">
                  <c:v>143.42561158440884</c:v>
                </c:pt>
                <c:pt idx="4">
                  <c:v>130.95381927272109</c:v>
                </c:pt>
                <c:pt idx="5">
                  <c:v>152.15586620259023</c:v>
                </c:pt>
                <c:pt idx="6">
                  <c:v>143.42561158440884</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numCache>
            </c:numRef>
          </c:yVal>
          <c:smooth val="0"/>
          <c:extLst>
            <c:ext xmlns:c16="http://schemas.microsoft.com/office/drawing/2014/chart" uri="{C3380CC4-5D6E-409C-BE32-E72D297353CC}">
              <c16:uniqueId val="{00000001-4A0F-4994-A194-A55E3185B6DC}"/>
            </c:ext>
          </c:extLst>
        </c:ser>
        <c:ser>
          <c:idx val="2"/>
          <c:order val="2"/>
          <c:tx>
            <c:v>Speed</c:v>
          </c:tx>
          <c:spPr>
            <a:ln w="25400" cap="rnd">
              <a:noFill/>
              <a:round/>
            </a:ln>
            <a:effectLst/>
          </c:spPr>
          <c:marker>
            <c:symbol val="none"/>
          </c:marker>
          <c:errBars>
            <c:errDir val="y"/>
            <c:errBarType val="both"/>
            <c:errValType val="fixedVal"/>
            <c:noEndCap val="0"/>
            <c:val val="1000"/>
            <c:spPr>
              <a:noFill/>
              <a:ln w="9525" cap="flat" cmpd="sng" algn="ctr">
                <a:solidFill>
                  <a:schemeClr val="accent6">
                    <a:lumMod val="75000"/>
                  </a:schemeClr>
                </a:solidFill>
                <a:prstDash val="dash"/>
                <a:round/>
              </a:ln>
              <a:effectLst/>
            </c:spPr>
          </c:errBars>
          <c:errBars>
            <c:errDir val="x"/>
            <c:errBarType val="both"/>
            <c:errValType val="fixedVal"/>
            <c:noEndCap val="0"/>
            <c:val val="1"/>
            <c:spPr>
              <a:noFill/>
              <a:ln w="9525" cap="flat" cmpd="sng" algn="ctr">
                <a:solidFill>
                  <a:schemeClr val="tx1">
                    <a:lumMod val="65000"/>
                    <a:lumOff val="35000"/>
                  </a:schemeClr>
                </a:solidFill>
                <a:round/>
              </a:ln>
              <a:effectLst/>
            </c:spPr>
          </c:errBars>
          <c:xVal>
            <c:numRef>
              <c:f>Calculations!$I$10</c:f>
              <c:numCache>
                <c:formatCode>General</c:formatCode>
                <c:ptCount val="1"/>
              </c:numCache>
            </c:numRef>
          </c:xVal>
          <c:yVal>
            <c:numLit>
              <c:formatCode>General</c:formatCode>
              <c:ptCount val="1"/>
              <c:pt idx="0">
                <c:v>20</c:v>
              </c:pt>
            </c:numLit>
          </c:yVal>
          <c:smooth val="0"/>
          <c:extLst>
            <c:ext xmlns:c16="http://schemas.microsoft.com/office/drawing/2014/chart" uri="{C3380CC4-5D6E-409C-BE32-E72D297353CC}">
              <c16:uniqueId val="{00000002-4A0F-4994-A194-A55E3185B6DC}"/>
            </c:ext>
          </c:extLst>
        </c:ser>
        <c:dLbls>
          <c:showLegendKey val="0"/>
          <c:showVal val="0"/>
          <c:showCatName val="0"/>
          <c:showSerName val="0"/>
          <c:showPercent val="0"/>
          <c:showBubbleSize val="0"/>
        </c:dLbls>
        <c:axId val="323360368"/>
        <c:axId val="188027544"/>
      </c:scatterChart>
      <c:valAx>
        <c:axId val="52326732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sz="2000">
                    <a:solidFill>
                      <a:sysClr val="windowText" lastClr="000000"/>
                    </a:solidFill>
                  </a:rPr>
                  <a:t>Engine</a:t>
                </a:r>
                <a:r>
                  <a:rPr lang="en-US" sz="2000" baseline="0">
                    <a:solidFill>
                      <a:sysClr val="windowText" lastClr="000000"/>
                    </a:solidFill>
                  </a:rPr>
                  <a:t> </a:t>
                </a:r>
                <a:r>
                  <a:rPr lang="en-US" sz="2000">
                    <a:solidFill>
                      <a:sysClr val="windowText" lastClr="000000"/>
                    </a:solidFill>
                  </a:rPr>
                  <a:t>RPM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523267648"/>
        <c:crossesAt val="0"/>
        <c:crossBetween val="midCat"/>
        <c:majorUnit val="100"/>
      </c:valAx>
      <c:valAx>
        <c:axId val="52326764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accent5"/>
                    </a:solidFill>
                    <a:latin typeface="+mn-lt"/>
                    <a:ea typeface="+mn-ea"/>
                    <a:cs typeface="+mn-cs"/>
                  </a:defRPr>
                </a:pPr>
                <a:r>
                  <a:rPr lang="en-US" sz="2000">
                    <a:solidFill>
                      <a:schemeClr val="accent5"/>
                    </a:solidFill>
                  </a:rPr>
                  <a:t> Horsepower</a:t>
                </a:r>
              </a:p>
            </c:rich>
          </c:tx>
          <c:layout>
            <c:manualLayout>
              <c:xMode val="edge"/>
              <c:yMode val="edge"/>
              <c:x val="5.8570927029041606E-3"/>
              <c:y val="0.386789086768187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accent5"/>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accent5"/>
                </a:solidFill>
                <a:latin typeface="+mn-lt"/>
                <a:ea typeface="+mn-ea"/>
                <a:cs typeface="+mn-cs"/>
              </a:defRPr>
            </a:pPr>
            <a:endParaRPr lang="en-US"/>
          </a:p>
        </c:txPr>
        <c:crossAx val="523267320"/>
        <c:crossesAt val="0"/>
        <c:crossBetween val="midCat"/>
      </c:valAx>
      <c:valAx>
        <c:axId val="188027544"/>
        <c:scaling>
          <c:orientation val="minMax"/>
          <c:max val="500"/>
          <c:min val="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2000">
                    <a:solidFill>
                      <a:schemeClr val="accent2">
                        <a:lumMod val="75000"/>
                      </a:schemeClr>
                    </a:solidFill>
                  </a:rPr>
                  <a:t>Torque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accent2">
                    <a:lumMod val="75000"/>
                  </a:schemeClr>
                </a:solidFill>
                <a:latin typeface="+mn-lt"/>
                <a:ea typeface="+mn-ea"/>
                <a:cs typeface="+mn-cs"/>
              </a:defRPr>
            </a:pPr>
            <a:endParaRPr lang="en-US"/>
          </a:p>
        </c:txPr>
        <c:crossAx val="323360368"/>
        <c:crosses val="max"/>
        <c:crossBetween val="midCat"/>
      </c:valAx>
      <c:valAx>
        <c:axId val="323360368"/>
        <c:scaling>
          <c:orientation val="minMax"/>
        </c:scaling>
        <c:delete val="1"/>
        <c:axPos val="b"/>
        <c:numFmt formatCode="0" sourceLinked="1"/>
        <c:majorTickMark val="out"/>
        <c:minorTickMark val="none"/>
        <c:tickLblPos val="nextTo"/>
        <c:crossAx val="188027544"/>
        <c:crossesAt val="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4"/>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B7A168A-16F6-41CB-B0AC-4BB73A3D9131}">
  <sheetPr codeName="Chart1"/>
  <sheetViews>
    <sheetView zoomScale="116" workbookViewId="0" zoomToFit="1"/>
  </sheetViews>
  <pageMargins left="0.7" right="0.7" top="0.75" bottom="0.75" header="0.3" footer="0.3"/>
  <pageSetup orientation="landscape" r:id="rId1"/>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9</xdr:col>
      <xdr:colOff>95251</xdr:colOff>
      <xdr:row>1</xdr:row>
      <xdr:rowOff>193524</xdr:rowOff>
    </xdr:from>
    <xdr:to>
      <xdr:col>19</xdr:col>
      <xdr:colOff>333374</xdr:colOff>
      <xdr:row>39</xdr:row>
      <xdr:rowOff>127000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38100</xdr:colOff>
          <xdr:row>44</xdr:row>
          <xdr:rowOff>190500</xdr:rowOff>
        </xdr:from>
        <xdr:to>
          <xdr:col>8</xdr:col>
          <xdr:colOff>1409700</xdr:colOff>
          <xdr:row>48</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419100</xdr:colOff>
          <xdr:row>44</xdr:row>
          <xdr:rowOff>200025</xdr:rowOff>
        </xdr:from>
        <xdr:to>
          <xdr:col>7</xdr:col>
          <xdr:colOff>1790700</xdr:colOff>
          <xdr:row>48</xdr:row>
          <xdr:rowOff>76200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Continue Recording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419100</xdr:colOff>
          <xdr:row>48</xdr:row>
          <xdr:rowOff>161925</xdr:rowOff>
        </xdr:from>
        <xdr:to>
          <xdr:col>8</xdr:col>
          <xdr:colOff>1400175</xdr:colOff>
          <xdr:row>52</xdr:row>
          <xdr:rowOff>38100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Store 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419100</xdr:colOff>
          <xdr:row>52</xdr:row>
          <xdr:rowOff>190500</xdr:rowOff>
        </xdr:from>
        <xdr:to>
          <xdr:col>9</xdr:col>
          <xdr:colOff>19050</xdr:colOff>
          <xdr:row>55</xdr:row>
          <xdr:rowOff>19050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257175</xdr:colOff>
      <xdr:row>22</xdr:row>
      <xdr:rowOff>133350</xdr:rowOff>
    </xdr:from>
    <xdr:to>
      <xdr:col>3</xdr:col>
      <xdr:colOff>977900</xdr:colOff>
      <xdr:row>34</xdr:row>
      <xdr:rowOff>187826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7175" y="4362450"/>
          <a:ext cx="4572000" cy="2340476"/>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342900</xdr:colOff>
          <xdr:row>18</xdr:row>
          <xdr:rowOff>85725</xdr:rowOff>
        </xdr:from>
        <xdr:to>
          <xdr:col>10</xdr:col>
          <xdr:colOff>304800</xdr:colOff>
          <xdr:row>22</xdr:row>
          <xdr:rowOff>9525</xdr:rowOff>
        </xdr:to>
        <xdr:sp macro="" textlink="">
          <xdr:nvSpPr>
            <xdr:cNvPr id="16385" name="Button 2"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data and begin new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342900</xdr:colOff>
          <xdr:row>14</xdr:row>
          <xdr:rowOff>19050</xdr:rowOff>
        </xdr:from>
        <xdr:to>
          <xdr:col>10</xdr:col>
          <xdr:colOff>295275</xdr:colOff>
          <xdr:row>17</xdr:row>
          <xdr:rowOff>133350</xdr:rowOff>
        </xdr:to>
        <xdr:sp macro="" textlink="">
          <xdr:nvSpPr>
            <xdr:cNvPr id="16386" name="Button 3"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Continue Recording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104775</xdr:colOff>
          <xdr:row>0</xdr:row>
          <xdr:rowOff>38100</xdr:rowOff>
        </xdr:from>
        <xdr:to>
          <xdr:col>16</xdr:col>
          <xdr:colOff>438150</xdr:colOff>
          <xdr:row>0</xdr:row>
          <xdr:rowOff>285750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Write Selected Line To Calculations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514350</xdr:colOff>
          <xdr:row>0</xdr:row>
          <xdr:rowOff>28575</xdr:rowOff>
        </xdr:from>
        <xdr:to>
          <xdr:col>19</xdr:col>
          <xdr:colOff>85725</xdr:colOff>
          <xdr:row>0</xdr:row>
          <xdr:rowOff>285750</xdr:rowOff>
        </xdr:to>
        <xdr:sp macro="" textlink="">
          <xdr:nvSpPr>
            <xdr:cNvPr id="23554" name="Button 1026" hidden="1">
              <a:extLst>
                <a:ext uri="{63B3BB69-23CF-44E3-9099-C40C66FF867C}">
                  <a14:compatExt spid="_x0000_s23554"/>
                </a:ext>
                <a:ext uri="{FF2B5EF4-FFF2-40B4-BE49-F238E27FC236}">
                  <a16:creationId xmlns:a16="http://schemas.microsoft.com/office/drawing/2014/main" id="{00000000-0008-0000-02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Export Records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228600</xdr:colOff>
          <xdr:row>0</xdr:row>
          <xdr:rowOff>38100</xdr:rowOff>
        </xdr:from>
        <xdr:to>
          <xdr:col>17</xdr:col>
          <xdr:colOff>314325</xdr:colOff>
          <xdr:row>0</xdr:row>
          <xdr:rowOff>266700</xdr:rowOff>
        </xdr:to>
        <xdr:sp macro="" textlink="">
          <xdr:nvSpPr>
            <xdr:cNvPr id="60417" name="Button 3" hidden="1">
              <a:extLst>
                <a:ext uri="{63B3BB69-23CF-44E3-9099-C40C66FF867C}">
                  <a14:compatExt spid="_x0000_s60417"/>
                </a:ext>
                <a:ext uri="{FF2B5EF4-FFF2-40B4-BE49-F238E27FC236}">
                  <a16:creationId xmlns:a16="http://schemas.microsoft.com/office/drawing/2014/main" id="{00000000-0008-0000-0300-000001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Insert and Begin New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209550</xdr:colOff>
          <xdr:row>0</xdr:row>
          <xdr:rowOff>38100</xdr:rowOff>
        </xdr:from>
        <xdr:to>
          <xdr:col>13</xdr:col>
          <xdr:colOff>400050</xdr:colOff>
          <xdr:row>0</xdr:row>
          <xdr:rowOff>266700</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00000000-0008-0000-0300-000002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Insert Selected Row</a:t>
              </a:r>
            </a:p>
          </xdr:txBody>
        </xdr:sp>
        <xdr:clientData fPrintsWithSheet="0"/>
      </xdr:twoCellAnchor>
    </mc:Choice>
    <mc:Fallback/>
  </mc:AlternateContent>
  <xdr:twoCellAnchor editAs="absolute">
    <xdr:from>
      <xdr:col>11</xdr:col>
      <xdr:colOff>161925</xdr:colOff>
      <xdr:row>1</xdr:row>
      <xdr:rowOff>123825</xdr:rowOff>
    </xdr:from>
    <xdr:to>
      <xdr:col>14</xdr:col>
      <xdr:colOff>161925</xdr:colOff>
      <xdr:row>14</xdr:row>
      <xdr:rowOff>171450</xdr:rowOff>
    </xdr:to>
    <mc:AlternateContent xmlns:mc="http://schemas.openxmlformats.org/markup-compatibility/2006" xmlns:sle15="http://schemas.microsoft.com/office/drawing/2012/slicer">
      <mc:Choice Requires="sle15">
        <xdr:graphicFrame macro="">
          <xdr:nvGraphicFramePr>
            <xdr:cNvPr id="2" name="Mak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Make"/>
            </a:graphicData>
          </a:graphic>
        </xdr:graphicFrame>
      </mc:Choice>
      <mc:Fallback xmlns="">
        <xdr:sp macro="" textlink="">
          <xdr:nvSpPr>
            <xdr:cNvPr id="0" name=""/>
            <xdr:cNvSpPr>
              <a:spLocks noTextEdit="1"/>
            </xdr:cNvSpPr>
          </xdr:nvSpPr>
          <xdr:spPr>
            <a:xfrm>
              <a:off x="12944475" y="4286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171450</xdr:colOff>
      <xdr:row>15</xdr:row>
      <xdr:rowOff>95250</xdr:rowOff>
    </xdr:from>
    <xdr:to>
      <xdr:col>14</xdr:col>
      <xdr:colOff>171450</xdr:colOff>
      <xdr:row>28</xdr:row>
      <xdr:rowOff>142875</xdr:rowOff>
    </xdr:to>
    <mc:AlternateContent xmlns:mc="http://schemas.openxmlformats.org/markup-compatibility/2006" xmlns:sle15="http://schemas.microsoft.com/office/drawing/2012/slicer">
      <mc:Choice Requires="sle15">
        <xdr:graphicFrame macro="">
          <xdr:nvGraphicFramePr>
            <xdr:cNvPr id="3" name="Model">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mlns="">
        <xdr:sp macro="" textlink="">
          <xdr:nvSpPr>
            <xdr:cNvPr id="0" name=""/>
            <xdr:cNvSpPr>
              <a:spLocks noTextEdit="1"/>
            </xdr:cNvSpPr>
          </xdr:nvSpPr>
          <xdr:spPr>
            <a:xfrm>
              <a:off x="12954000" y="30670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absoluteAnchor>
    <xdr:pos x="0" y="0"/>
    <xdr:ext cx="8662823" cy="6289784"/>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0.11532</cdr:x>
      <cdr:y>0.10002</cdr:y>
    </cdr:from>
    <cdr:to>
      <cdr:x>0.37444</cdr:x>
      <cdr:y>0.17354</cdr:y>
    </cdr:to>
    <cdr:sp macro="" textlink="">
      <cdr:nvSpPr>
        <cdr:cNvPr id="2" name="MyTextbox">
          <a:extLst xmlns:a="http://schemas.openxmlformats.org/drawingml/2006/main">
            <a:ext uri="{FF2B5EF4-FFF2-40B4-BE49-F238E27FC236}">
              <a16:creationId xmlns:a16="http://schemas.microsoft.com/office/drawing/2014/main" id="{B749BB8C-5872-4C87-B011-09272ED6CE7A}"/>
            </a:ext>
          </a:extLst>
        </cdr:cNvPr>
        <cdr:cNvSpPr txBox="1"/>
      </cdr:nvSpPr>
      <cdr:spPr>
        <a:xfrm xmlns:a="http://schemas.openxmlformats.org/drawingml/2006/main">
          <a:off x="998920" y="629417"/>
          <a:ext cx="2244506" cy="462674"/>
        </a:xfrm>
        <a:prstGeom xmlns:a="http://schemas.openxmlformats.org/drawingml/2006/main" prst="rect">
          <a:avLst/>
        </a:prstGeom>
        <a:solidFill xmlns:a="http://schemas.openxmlformats.org/drawingml/2006/main">
          <a:schemeClr val="bg1"/>
        </a:solidFill>
        <a:ln xmlns:a="http://schemas.openxmlformats.org/drawingml/2006/main" w="3175">
          <a:solidFill>
            <a:schemeClr val="tx1"/>
          </a:solidFill>
          <a:prstDash val="solid"/>
        </a:ln>
        <a:effectLst xmlns:a="http://schemas.openxmlformats.org/drawingml/2006/main">
          <a:outerShdw blurRad="50800" dist="38100" dir="2700000" algn="tl" rotWithShape="0">
            <a:prstClr val="black">
              <a:alpha val="40000"/>
            </a:prstClr>
          </a:outerShdw>
        </a:effectLst>
      </cdr:spPr>
      <cdr:txBody>
        <a:bodyPr xmlns:a="http://schemas.openxmlformats.org/drawingml/2006/main" vertOverflow="clip" vert="horz" rtlCol="0"/>
        <a:lstStyle xmlns:a="http://schemas.openxmlformats.org/drawingml/2006/main"/>
        <a:p xmlns:a="http://schemas.openxmlformats.org/drawingml/2006/main">
          <a:r>
            <a:rPr lang="en-US" sz="1100"/>
            <a:t>Max HP: 30.4 at 1113 RPM</a:t>
          </a:r>
        </a:p>
        <a:p xmlns:a="http://schemas.openxmlformats.org/drawingml/2006/main">
          <a:r>
            <a:rPr lang="en-US" sz="1100"/>
            <a:t>Max Torque: 152 ft-lbs at 1033 RPM</a:t>
          </a:r>
        </a:p>
      </cdr:txBody>
    </cdr:sp>
  </cdr:relSizeAnchor>
</c:userShap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ke" xr10:uid="{846BFD69-1D11-4CB2-8F08-371656778EE6}" sourceName="Make">
  <extLst>
    <x:ext xmlns:x15="http://schemas.microsoft.com/office/spreadsheetml/2010/11/main" uri="{2F2917AC-EB37-4324-AD4E-5DD8C200BD13}">
      <x15:tableSlicerCache tableId="2" column="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 xr10:uid="{B7255847-898D-4EE7-92C3-C54441429B63}" sourceName="Model">
  <extLst>
    <x:ext xmlns:x15="http://schemas.microsoft.com/office/spreadsheetml/2010/11/main" uri="{2F2917AC-EB37-4324-AD4E-5DD8C200BD13}">
      <x15:tableSlicerCache tableId="2"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ke" xr10:uid="{9507E112-07FA-41B6-8A8E-902155FB2C7C}" cache="Slicer_Make" caption="Sort By Make" startItem="2" rowHeight="241300"/>
  <slicer name="Model" xr10:uid="{A8BCE12C-F873-476D-A748-6A075972C296}" cache="Slicer_Model" caption="Sort By Model" startItem="5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9380FE3-5006-4378-93EC-DCAC550189A3}" name="Table2" displayName="Table2" ref="A1:K501" totalsRowShown="0" headerRowDxfId="12" dataDxfId="11">
  <autoFilter ref="A1:K501" xr:uid="{50BF988D-2200-42CE-B61B-C7A5D1178412}"/>
  <tableColumns count="11">
    <tableColumn id="1" xr3:uid="{B6DD56C1-D194-4A0B-A964-03634D3D1280}" name="Year" dataDxfId="10"/>
    <tableColumn id="2" xr3:uid="{72F29C2A-24F9-4198-92E1-EED5B2F34A5E}" name="Nebraska Test No." dataDxfId="9"/>
    <tableColumn id="3" xr3:uid="{F18D2435-6B0B-44CE-9865-C7A32EA6BC30}" name="Make" dataDxfId="8"/>
    <tableColumn id="4" xr3:uid="{58B1EDD8-6035-4798-A209-D1C5C24EAD01}" name="Model" dataDxfId="7"/>
    <tableColumn id="5" xr3:uid="{258CD4AE-625F-41EC-95E1-5EE767D43891}" name="Max HP (B)" dataDxfId="6"/>
    <tableColumn id="6" xr3:uid="{218DC227-6302-47AF-A0A6-D0DEB60CF64A}" name="Rated HP (D)" dataDxfId="5"/>
    <tableColumn id="7" xr3:uid="{C2669E01-7AE2-47AC-8050-011222F4F064}" name="Fuel" dataDxfId="4"/>
    <tableColumn id="8" xr3:uid="{03F84018-7DEB-43D2-A15D-66CE036AEBA6}" name="Rated Engine Speed" dataDxfId="3"/>
    <tableColumn id="9" xr3:uid="{F4875A6C-0514-4CFD-9BF4-F9107669D71D}" name="Belt Pulley Speed" dataDxfId="2"/>
    <tableColumn id="10" xr3:uid="{0166D3B8-DFE0-4829-A517-855C7D2C5860}" name="Belt Pulley Dia." dataDxfId="1"/>
    <tableColumn id="11" xr3:uid="{2930129A-D6D1-4327-BACE-B14FFD8E2E74}" name="HP-Hrs/Gal (D)"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pageSetUpPr autoPageBreaks="0" fitToPage="1"/>
  </sheetPr>
  <dimension ref="A1:AD1685"/>
  <sheetViews>
    <sheetView zoomScale="60" zoomScaleNormal="60" workbookViewId="0">
      <selection activeCell="E26" sqref="E26"/>
    </sheetView>
  </sheetViews>
  <sheetFormatPr defaultColWidth="8.85546875" defaultRowHeight="15" x14ac:dyDescent="0.25"/>
  <cols>
    <col min="1" max="1" width="16.5703125" style="27" bestFit="1" customWidth="1"/>
    <col min="2" max="2" width="9.7109375" style="27" bestFit="1" customWidth="1"/>
    <col min="3" max="3" width="17.7109375" style="27" bestFit="1" customWidth="1"/>
    <col min="4" max="4" width="21.5703125" style="27" bestFit="1" customWidth="1"/>
    <col min="5" max="5" width="20.5703125" style="27" bestFit="1" customWidth="1"/>
    <col min="6" max="6" width="9" style="27" customWidth="1"/>
    <col min="7" max="7" width="19.7109375" style="27" bestFit="1" customWidth="1"/>
    <col min="8" max="8" width="32.85546875" style="27" bestFit="1" customWidth="1"/>
    <col min="9" max="9" width="18.140625" style="27" customWidth="1"/>
    <col min="10" max="10" width="15" style="27" bestFit="1" customWidth="1"/>
    <col min="11" max="11" width="14.85546875" style="27" bestFit="1" customWidth="1"/>
    <col min="12" max="12" width="38" style="27" bestFit="1" customWidth="1"/>
    <col min="13" max="13" width="28.140625" style="27" bestFit="1" customWidth="1"/>
    <col min="14" max="14" width="11.140625" style="27" customWidth="1"/>
    <col min="15" max="17" width="8.85546875" style="27"/>
    <col min="18" max="18" width="36.7109375" style="27" bestFit="1" customWidth="1"/>
    <col min="19" max="29" width="8.85546875" style="27"/>
    <col min="30" max="30" width="12" style="27" hidden="1" customWidth="1"/>
    <col min="31" max="16384" width="8.85546875" style="27"/>
  </cols>
  <sheetData>
    <row r="1" spans="1:30" ht="16.5" thickBot="1" x14ac:dyDescent="0.3">
      <c r="A1" s="34" t="s">
        <v>0</v>
      </c>
      <c r="B1" s="34" t="s">
        <v>1</v>
      </c>
      <c r="C1" s="35" t="s">
        <v>2</v>
      </c>
      <c r="D1" s="36" t="s">
        <v>3</v>
      </c>
      <c r="E1" s="34" t="s">
        <v>4</v>
      </c>
      <c r="F1" s="59"/>
      <c r="AC1" s="75" t="s">
        <v>640</v>
      </c>
      <c r="AD1" s="76">
        <v>1822.8722993827159</v>
      </c>
    </row>
    <row r="2" spans="1:30" ht="16.5" thickBot="1" x14ac:dyDescent="0.3">
      <c r="A2">
        <v>190</v>
      </c>
      <c r="B2">
        <v>120</v>
      </c>
      <c r="C2" s="29">
        <f>IF(B2=0,"EMPTY",Setup!$D$11*((PI()*2*Setup!$B$22*A2*B2)/33000))</f>
        <v>21.519752469925777</v>
      </c>
      <c r="D2" s="30">
        <f>IF(Setup!$H$2=0,"EMPTY",IF(B2=0,"EMPTY",B2*Setup!$B$22*Setup!$G$6*Setup!$D$11))</f>
        <v>149.66150774025272</v>
      </c>
      <c r="E2" s="31">
        <f>IF(Setup!$H$2=0,-1,IF(A2=0,-1,A2*1/(Setup!$G$6)))</f>
        <v>755.19868827160485</v>
      </c>
      <c r="F2" s="31"/>
      <c r="AC2" s="75" t="s">
        <v>641</v>
      </c>
      <c r="AD2" s="77">
        <f>$G$12</f>
        <v>6.1014672055808514</v>
      </c>
    </row>
    <row r="3" spans="1:30" s="28" customFormat="1" ht="15.75" x14ac:dyDescent="0.25">
      <c r="A3">
        <v>215</v>
      </c>
      <c r="B3">
        <v>120</v>
      </c>
      <c r="C3" s="29">
        <f>IF(B3=0,"EMPTY",Setup!$D$11*((PI()*2*Setup!$B$22*A3*B3)/33000))</f>
        <v>24.351298847547593</v>
      </c>
      <c r="D3" s="30">
        <f>IF(Setup!$H$2=0,"EMPTY",IF(B3=0,"EMPTY",B3*Setup!$B$22*Setup!$G$6*Setup!$D$11))</f>
        <v>149.66150774025272</v>
      </c>
      <c r="E3" s="31">
        <f>IF(Setup!$H$2=0,-1,IF(A3=0,-1,A3*1/(Setup!$G$6)))</f>
        <v>854.56693672839504</v>
      </c>
      <c r="F3" s="31"/>
      <c r="G3" s="91" t="s">
        <v>1674</v>
      </c>
      <c r="H3" s="92"/>
    </row>
    <row r="4" spans="1:30" ht="16.5" customHeight="1" x14ac:dyDescent="0.25">
      <c r="A4">
        <v>230</v>
      </c>
      <c r="B4">
        <v>118</v>
      </c>
      <c r="C4" s="29">
        <f>IF(B4=0,"EMPTY",Setup!$D$11*((PI()*2*Setup!$B$22*A4*B4)/33000))</f>
        <v>25.616056229551997</v>
      </c>
      <c r="D4" s="30">
        <f>IF(Setup!$H$2=0,"EMPTY",IF(B4=0,"EMPTY",B4*Setup!$B$22*Setup!$G$6*Setup!$D$11))</f>
        <v>147.16714927791514</v>
      </c>
      <c r="E4" s="31">
        <f>IF(Setup!$H$2=0,-1,IF(A4=0,-1,A4*1/(Setup!$G$6)))</f>
        <v>914.18788580246905</v>
      </c>
      <c r="F4" s="31"/>
      <c r="G4" s="93"/>
      <c r="H4" s="94"/>
    </row>
    <row r="5" spans="1:30" ht="31.5" customHeight="1" x14ac:dyDescent="0.25">
      <c r="A5">
        <v>240</v>
      </c>
      <c r="B5">
        <v>115</v>
      </c>
      <c r="C5" s="29">
        <f>IF(B5=0,"EMPTY",Setup!$D$11*((PI()*2*Setup!$B$22*A5*B5)/33000))</f>
        <v>26.05022667412068</v>
      </c>
      <c r="D5" s="30">
        <f>IF(Setup!$H$2=0,"EMPTY",IF(B5=0,"EMPTY",B5*Setup!$B$22*Setup!$G$6*Setup!$D$11))</f>
        <v>143.42561158440884</v>
      </c>
      <c r="E5" s="31">
        <f>IF(Setup!$H$2=0,-1,IF(A5=0,-1,A5*1/(Setup!$G$6)))</f>
        <v>953.93518518518511</v>
      </c>
      <c r="F5" s="31"/>
      <c r="G5" s="93" t="s">
        <v>285</v>
      </c>
      <c r="H5" s="94"/>
    </row>
    <row r="6" spans="1:30" ht="15.75" x14ac:dyDescent="0.25">
      <c r="A6">
        <v>250</v>
      </c>
      <c r="B6">
        <v>105</v>
      </c>
      <c r="C6" s="29">
        <f>IF(B6=0,"EMPTY",Setup!$D$11*((PI()*2*Setup!$B$22*A6*B6)/33000))</f>
        <v>24.77603080419086</v>
      </c>
      <c r="D6" s="30">
        <f>IF(Setup!$H$2=0,"EMPTY",IF(B6=0,"EMPTY",B6*Setup!$B$22*Setup!$G$6*Setup!$D$11))</f>
        <v>130.95381927272109</v>
      </c>
      <c r="E6" s="31">
        <f>IF(Setup!$H$2=0,-1,IF(A6=0,-1,A6*1/(Setup!$G$6)))</f>
        <v>993.68248456790116</v>
      </c>
      <c r="F6" s="31"/>
      <c r="G6" s="93"/>
      <c r="H6" s="94"/>
    </row>
    <row r="7" spans="1:30" ht="36" x14ac:dyDescent="0.25">
      <c r="A7">
        <v>260</v>
      </c>
      <c r="B7">
        <v>122</v>
      </c>
      <c r="C7" s="29">
        <f>IF(B7=0,"EMPTY",Setup!$D$11*((PI()*2*Setup!$B$22*A7*B7)/33000))</f>
        <v>29.938883699387969</v>
      </c>
      <c r="D7" s="30">
        <f>IF(Setup!$H$2=0,"EMPTY",IF(B7=0,"EMPTY",B7*Setup!$B$22*Setup!$G$6*Setup!$D$11))</f>
        <v>152.15586620259023</v>
      </c>
      <c r="E7" s="31">
        <f>IF(Setup!$H$2=0,-1,IF(A7=0,-1,A7*1/(Setup!$G$6)))</f>
        <v>1033.4297839506173</v>
      </c>
      <c r="F7" s="31"/>
      <c r="G7" s="54" t="s">
        <v>1083</v>
      </c>
      <c r="H7" s="61" t="s">
        <v>335</v>
      </c>
    </row>
    <row r="8" spans="1:30" ht="31.5" customHeight="1" x14ac:dyDescent="0.25">
      <c r="A8">
        <v>280</v>
      </c>
      <c r="B8">
        <v>115</v>
      </c>
      <c r="C8" s="29">
        <f>IF(B8=0,"EMPTY",Setup!$D$11*((PI()*2*Setup!$B$22*A8*B8)/33000))</f>
        <v>30.391931119807452</v>
      </c>
      <c r="D8" s="30">
        <f>IF(Setup!$H$2=0,"EMPTY",IF(B8=0,"EMPTY",B8*Setup!$B$22*Setup!$G$6*Setup!$D$11))</f>
        <v>143.42561158440884</v>
      </c>
      <c r="E8" s="31">
        <f>IF(Setup!$H$2=0,-1,IF(A8=0,-1,A8*1/(Setup!$G$6)))</f>
        <v>1112.9243827160494</v>
      </c>
      <c r="F8" s="31"/>
      <c r="G8" s="99">
        <v>44485</v>
      </c>
      <c r="H8" s="100"/>
    </row>
    <row r="9" spans="1:30" ht="16.5" thickBot="1" x14ac:dyDescent="0.3">
      <c r="A9"/>
      <c r="B9"/>
      <c r="C9" s="29" t="str">
        <f>IF(B9=0,"EMPTY",Setup!$D$11*((PI()*2*Setup!$B$22*A9*B9)/33000))</f>
        <v>EMPTY</v>
      </c>
      <c r="D9" s="30" t="str">
        <f>IF(Setup!$H$2=0,"EMPTY",IF(B9=0,"EMPTY",B9*Setup!$B$22*Setup!$G$6*Setup!$D$11))</f>
        <v>EMPTY</v>
      </c>
      <c r="E9" s="31">
        <f>IF(Setup!$H$2=0,-1,IF(A9=0,-1,A9*1/(Setup!$G$6)))</f>
        <v>-1</v>
      </c>
      <c r="F9" s="31"/>
      <c r="G9" s="101"/>
      <c r="H9" s="102"/>
    </row>
    <row r="10" spans="1:30" ht="24" thickBot="1" x14ac:dyDescent="0.4">
      <c r="A10"/>
      <c r="B10"/>
      <c r="C10" s="29" t="str">
        <f>IF(B10=0,"EMPTY",Setup!$D$11*((PI()*2*Setup!$B$22*A10*B10)/33000))</f>
        <v>EMPTY</v>
      </c>
      <c r="D10" s="30" t="str">
        <f>IF(Setup!$H$2=0,"EMPTY",IF(B10=0,"EMPTY",B10*Setup!$B$22*Setup!$G$6*Setup!$D$11))</f>
        <v>EMPTY</v>
      </c>
      <c r="E10" s="31">
        <f>IF(Setup!$H$2=0,-1,IF(A10=0,-1,A10*1/(Setup!$G$6)))</f>
        <v>-1</v>
      </c>
      <c r="F10" s="31"/>
      <c r="I10" s="52"/>
    </row>
    <row r="11" spans="1:30" ht="26.25" x14ac:dyDescent="0.4">
      <c r="A11"/>
      <c r="B11"/>
      <c r="C11" s="29" t="str">
        <f>IF(B11=0,"EMPTY",Setup!$D$11*((PI()*2*Setup!$B$22*A11*B11)/33000))</f>
        <v>EMPTY</v>
      </c>
      <c r="D11" s="30" t="str">
        <f>IF(Setup!$H$2=0,"EMPTY",IF(B11=0,"EMPTY",B11*Setup!$B$22*Setup!$G$6*Setup!$D$11))</f>
        <v>EMPTY</v>
      </c>
      <c r="E11" s="31">
        <f>IF(Setup!$H$2=0,-1,IF(A11=0,-1,A11*1/(Setup!$G$6)))</f>
        <v>-1</v>
      </c>
      <c r="F11" s="31"/>
      <c r="G11" s="73" t="s">
        <v>271</v>
      </c>
      <c r="H11" s="74" t="s">
        <v>272</v>
      </c>
    </row>
    <row r="12" spans="1:30" ht="32.25" thickBot="1" x14ac:dyDescent="0.55000000000000004">
      <c r="A12"/>
      <c r="B12"/>
      <c r="C12" s="29" t="str">
        <f>IF(B12=0,"EMPTY",Setup!$D$11*((PI()*2*Setup!$B$22*A12*B12)/33000))</f>
        <v>EMPTY</v>
      </c>
      <c r="D12" s="30" t="str">
        <f>IF(Setup!$H$2=0,"EMPTY",IF(B12=0,"EMPTY",B12*Setup!$B$22*Setup!$G$6*Setup!$D$11))</f>
        <v>EMPTY</v>
      </c>
      <c r="E12" s="31">
        <f>IF(Setup!$H$2=0,-1,IF(A12=0,-1,A12*1/(Setup!$G$6)))</f>
        <v>-1</v>
      </c>
      <c r="F12" s="31"/>
      <c r="G12" s="79">
        <v>6.1014672055808514</v>
      </c>
      <c r="H12" s="80">
        <v>17.642385885683741</v>
      </c>
    </row>
    <row r="13" spans="1:30" ht="16.5" thickBot="1" x14ac:dyDescent="0.3">
      <c r="A13"/>
      <c r="B13"/>
      <c r="C13" s="29" t="str">
        <f>IF(B13=0,"EMPTY",Setup!$D$11*((PI()*2*Setup!$B$22*A13*B13)/33000))</f>
        <v>EMPTY</v>
      </c>
      <c r="D13" s="30" t="str">
        <f>IF(Setup!$H$2=0,"EMPTY",IF(B13=0,"EMPTY",B13*Setup!$B$22*Setup!$G$6*Setup!$D$11))</f>
        <v>EMPTY</v>
      </c>
      <c r="E13" s="31">
        <f>IF(Setup!$H$2=0,-1,IF(A13=0,-1,A13*1/(Setup!$G$6)))</f>
        <v>-1</v>
      </c>
      <c r="F13" s="31"/>
    </row>
    <row r="14" spans="1:30" ht="31.5" x14ac:dyDescent="0.5">
      <c r="A14"/>
      <c r="B14"/>
      <c r="C14" s="29" t="str">
        <f>IF(B14=0,"EMPTY",Setup!$D$11*((PI()*2*Setup!$B$22*A14*B14)/33000))</f>
        <v>EMPTY</v>
      </c>
      <c r="D14" s="30" t="str">
        <f>IF(Setup!$H$2=0,"EMPTY",IF(B14=0,"EMPTY",B14*Setup!$B$22*Setup!$G$6*Setup!$D$11))</f>
        <v>EMPTY</v>
      </c>
      <c r="E14" s="31">
        <f>IF(Setup!$H$2=0,-1,IF(A14=0,-1,A14*1/(Setup!$G$6)))</f>
        <v>-1</v>
      </c>
      <c r="F14" s="31"/>
      <c r="G14" s="44" t="s">
        <v>5</v>
      </c>
      <c r="H14" s="45" t="s">
        <v>6</v>
      </c>
    </row>
    <row r="15" spans="1:30" ht="32.25" thickBot="1" x14ac:dyDescent="0.55000000000000004">
      <c r="A15"/>
      <c r="B15"/>
      <c r="C15" s="29" t="str">
        <f>IF(B15=0,"EMPTY",Setup!$D$11*((PI()*2*Setup!$B$22*A15*B15)/33000))</f>
        <v>EMPTY</v>
      </c>
      <c r="D15" s="30" t="str">
        <f>IF(Setup!$H$2=0,"EMPTY",IF(B15=0,"EMPTY",B15*Setup!$B$22*Setup!$G$6*Setup!$D$11))</f>
        <v>EMPTY</v>
      </c>
      <c r="E15" s="31">
        <f>IF(Setup!$H$2=0,-1,IF(A15=0,-1,A15*1/(Setup!$G$6)))</f>
        <v>-1</v>
      </c>
      <c r="F15" s="31"/>
      <c r="G15" s="46">
        <f>MAX(C2:C999)</f>
        <v>30.391931119807452</v>
      </c>
      <c r="H15" s="47">
        <f>MAX(D2:D999)</f>
        <v>152.15586620259023</v>
      </c>
    </row>
    <row r="16" spans="1:30" ht="26.25" x14ac:dyDescent="0.4">
      <c r="A16"/>
      <c r="B16"/>
      <c r="C16" s="29" t="str">
        <f>IF(B16=0,"EMPTY",Setup!$D$11*((PI()*2*Setup!$B$22*A16*B16)/33000))</f>
        <v>EMPTY</v>
      </c>
      <c r="D16" s="30" t="str">
        <f>IF(Setup!$H$2=0,"EMPTY",IF(B16=0,"EMPTY",B16*Setup!$B$22*Setup!$G$6*Setup!$D$11))</f>
        <v>EMPTY</v>
      </c>
      <c r="E16" s="31">
        <f>IF(Setup!$H$2=0,-1,IF(A16=0,-1,A16*1/(Setup!$G$6)))</f>
        <v>-1</v>
      </c>
      <c r="F16" s="31"/>
      <c r="G16" s="105" t="s">
        <v>260</v>
      </c>
      <c r="H16" s="105"/>
    </row>
    <row r="17" spans="1:11" ht="26.25" x14ac:dyDescent="0.4">
      <c r="A17"/>
      <c r="B17"/>
      <c r="C17" s="29" t="str">
        <f>IF(B17=0,"EMPTY",Setup!$D$11*((PI()*2*Setup!$B$22*A17*B17)/33000))</f>
        <v>EMPTY</v>
      </c>
      <c r="D17" s="30" t="str">
        <f>IF(Setup!$H$2=0,"EMPTY",IF(B17=0,"EMPTY",B17*Setup!$B$22*Setup!$G$6*Setup!$D$11))</f>
        <v>EMPTY</v>
      </c>
      <c r="E17" s="31">
        <f>IF(Setup!$H$2=0,-1,IF(A17=0,-1,A17*1/(Setup!$G$6)))</f>
        <v>-1</v>
      </c>
      <c r="F17" s="31"/>
      <c r="G17" s="106">
        <f>IF(I38=0,"BLANK",G15/I38)</f>
        <v>0.86096122152429055</v>
      </c>
      <c r="H17" s="106"/>
    </row>
    <row r="18" spans="1:11" ht="15.75" x14ac:dyDescent="0.25">
      <c r="A18"/>
      <c r="B18"/>
      <c r="C18" s="29" t="str">
        <f>IF(B18=0,"EMPTY",Setup!$D$11*((PI()*2*Setup!$B$22*A18*B18)/33000))</f>
        <v>EMPTY</v>
      </c>
      <c r="D18" s="30" t="str">
        <f>IF(Setup!$H$2=0,"EMPTY",IF(B18=0,"EMPTY",B18*Setup!$B$22*Setup!$G$6*Setup!$D$11))</f>
        <v>EMPTY</v>
      </c>
      <c r="E18" s="31">
        <f>IF(Setup!$H$2=0,-1,IF(A18=0,-1,A18*1/(Setup!$G$6)))</f>
        <v>-1</v>
      </c>
      <c r="F18" s="31"/>
    </row>
    <row r="19" spans="1:11" ht="21" x14ac:dyDescent="0.35">
      <c r="A19"/>
      <c r="B19"/>
      <c r="C19" s="29" t="str">
        <f>IF(B19=0,"EMPTY",Setup!$D$11*((PI()*2*Setup!$B$22*A19*B19)/33000))</f>
        <v>EMPTY</v>
      </c>
      <c r="D19" s="30" t="str">
        <f>IF(Setup!$H$2=0,"EMPTY",IF(B19=0,"EMPTY",B19*Setup!$B$22*Setup!$G$6*Setup!$D$11))</f>
        <v>EMPTY</v>
      </c>
      <c r="E19" s="31">
        <f>IF(Setup!$H$2=0,-1,IF(A19=0,-1,A19*1/(Setup!$G$6)))</f>
        <v>-1</v>
      </c>
      <c r="F19" s="31"/>
      <c r="G19" s="107" t="s">
        <v>10</v>
      </c>
      <c r="H19" s="108"/>
    </row>
    <row r="20" spans="1:11" ht="21" x14ac:dyDescent="0.35">
      <c r="A20"/>
      <c r="B20"/>
      <c r="C20" s="29" t="str">
        <f>IF(B20=0,"EMPTY",Setup!$D$11*((PI()*2*Setup!$B$22*A20*B20)/33000))</f>
        <v>EMPTY</v>
      </c>
      <c r="D20" s="30" t="str">
        <f>IF(Setup!$H$2=0,"EMPTY",IF(B20=0,"EMPTY",B20*Setup!$B$22*Setup!$G$6*Setup!$D$11))</f>
        <v>EMPTY</v>
      </c>
      <c r="E20" s="31">
        <f>IF(Setup!$H$2=0,-1,IF(A20=0,-1,A20*1/(Setup!$G$6)))</f>
        <v>-1</v>
      </c>
      <c r="F20" s="31"/>
      <c r="G20" s="109" t="s">
        <v>12</v>
      </c>
      <c r="H20" s="110"/>
    </row>
    <row r="21" spans="1:11" ht="21" x14ac:dyDescent="0.35">
      <c r="A21"/>
      <c r="B21"/>
      <c r="C21" s="29" t="str">
        <f>IF(B21=0,"EMPTY",Setup!$D$11*((PI()*2*Setup!$B$22*A21*B21)/33000))</f>
        <v>EMPTY</v>
      </c>
      <c r="D21" s="30" t="str">
        <f>IF(Setup!$H$2=0,"EMPTY",IF(B21=0,"EMPTY",B21*Setup!$B$22*Setup!$G$6*Setup!$D$11))</f>
        <v>EMPTY</v>
      </c>
      <c r="E21" s="31">
        <f>IF(Setup!$H$2=0,-1,IF(A21=0,-1,A21*1/(Setup!$G$6)))</f>
        <v>-1</v>
      </c>
      <c r="F21" s="31"/>
      <c r="G21" s="111">
        <f>Setup!$D$11</f>
        <v>0.9404965678798991</v>
      </c>
      <c r="H21" s="112"/>
      <c r="J21" s="32"/>
      <c r="K21" s="32"/>
    </row>
    <row r="22" spans="1:11" ht="15.75" x14ac:dyDescent="0.25">
      <c r="A22"/>
      <c r="B22"/>
      <c r="C22" s="29" t="str">
        <f>IF(B22=0,"EMPTY",Setup!$D$11*((PI()*2*Setup!$B$22*A22*B22)/33000))</f>
        <v>EMPTY</v>
      </c>
      <c r="D22" s="30" t="str">
        <f>IF(Setup!$H$2=0,"EMPTY",IF(B22=0,"EMPTY",B22*Setup!$B$22*Setup!$G$6*Setup!$D$11))</f>
        <v>EMPTY</v>
      </c>
      <c r="E22" s="31">
        <f>IF(Setup!$H$2=0,-1,IF(A22=0,-1,A22*1/(Setup!$G$6)))</f>
        <v>-1</v>
      </c>
      <c r="F22" s="31"/>
      <c r="J22" s="33"/>
      <c r="K22" s="33"/>
    </row>
    <row r="23" spans="1:11" ht="15.75" x14ac:dyDescent="0.25">
      <c r="A23"/>
      <c r="B23"/>
      <c r="C23" s="29" t="str">
        <f>IF(B23=0,"EMPTY",Setup!$D$11*((PI()*2*Setup!$B$22*A23*B23)/33000))</f>
        <v>EMPTY</v>
      </c>
      <c r="D23" s="30" t="str">
        <f>IF(Setup!$H$2=0,"EMPTY",IF(B23=0,"EMPTY",B23*Setup!$B$22*Setup!$G$6*Setup!$D$11))</f>
        <v>EMPTY</v>
      </c>
      <c r="E23" s="31">
        <f>IF(Setup!$H$2=0,-1,IF(A23=0,-1,A23*1/(Setup!$G$6)))</f>
        <v>-1</v>
      </c>
      <c r="F23" s="31"/>
      <c r="G23" s="85" t="s">
        <v>15</v>
      </c>
      <c r="H23" s="86"/>
      <c r="J23" s="33"/>
    </row>
    <row r="24" spans="1:11" ht="15.75" x14ac:dyDescent="0.25">
      <c r="A24"/>
      <c r="B24"/>
      <c r="C24" s="29" t="str">
        <f>IF(B24=0,"EMPTY",Setup!$D$11*((PI()*2*Setup!$B$22*A24*B24)/33000))</f>
        <v>EMPTY</v>
      </c>
      <c r="D24" s="30" t="str">
        <f>IF(Setup!$H$2=0,"EMPTY",IF(B24=0,"EMPTY",B24*Setup!$B$22*Setup!$G$6*Setup!$D$11))</f>
        <v>EMPTY</v>
      </c>
      <c r="E24" s="31">
        <f>IF(Setup!$H$2=0,-1,IF(A24=0,-1,A24*1/(Setup!$G$6)))</f>
        <v>-1</v>
      </c>
      <c r="F24" s="31"/>
      <c r="G24" s="113" t="str">
        <f>IF(Setup!$B$6=1,"Belt Drive","PTO Drive")</f>
        <v>PTO Drive</v>
      </c>
      <c r="H24" s="114"/>
      <c r="J24" s="33"/>
    </row>
    <row r="25" spans="1:11" ht="15.75" x14ac:dyDescent="0.25">
      <c r="A25"/>
      <c r="B25"/>
      <c r="C25" s="29" t="str">
        <f>IF(B25=0,"EMPTY",Setup!$D$11*((PI()*2*Setup!$B$22*A25*B25)/33000))</f>
        <v>EMPTY</v>
      </c>
      <c r="D25" s="30" t="str">
        <f>IF(Setup!$H$2=0,"EMPTY",IF(B25=0,"EMPTY",B25*Setup!$B$22*Setup!$G$6*Setup!$D$11))</f>
        <v>EMPTY</v>
      </c>
      <c r="E25" s="31">
        <f>IF(Setup!$H$2=0,-1,IF(A25=0,-1,A25*1/(Setup!$G$6)))</f>
        <v>-1</v>
      </c>
      <c r="F25" s="31"/>
      <c r="J25" s="33"/>
    </row>
    <row r="26" spans="1:11" ht="21" x14ac:dyDescent="0.35">
      <c r="A26"/>
      <c r="B26"/>
      <c r="C26" s="29" t="str">
        <f>IF(B26=0,"EMPTY",Setup!$D$11*((PI()*2*Setup!$B$22*A26*B26)/33000))</f>
        <v>EMPTY</v>
      </c>
      <c r="D26" s="30" t="str">
        <f>IF(Setup!$H$2=0,"EMPTY",IF(B26=0,"EMPTY",B26*Setup!$B$22*Setup!$G$6*Setup!$D$11))</f>
        <v>EMPTY</v>
      </c>
      <c r="E26" s="31">
        <f>IF(Setup!$H$2=0,-1,IF(A26=0,-1,A26*1/(Setup!$G$6)))</f>
        <v>-1</v>
      </c>
      <c r="F26" s="31"/>
      <c r="G26" s="88" t="s">
        <v>1654</v>
      </c>
      <c r="H26" s="88"/>
      <c r="J26" s="33"/>
    </row>
    <row r="27" spans="1:11" ht="21" x14ac:dyDescent="0.35">
      <c r="A27"/>
      <c r="B27"/>
      <c r="C27" s="29" t="str">
        <f>IF(B27=0,"EMPTY",Setup!$D$11*((PI()*2*Setup!$B$22*A27*B27)/33000))</f>
        <v>EMPTY</v>
      </c>
      <c r="D27" s="30" t="str">
        <f>IF(Setup!$H$2=0,"EMPTY",IF(B27=0,"EMPTY",B27*Setup!$B$22*Setup!$G$6*Setup!$D$11))</f>
        <v>EMPTY</v>
      </c>
      <c r="E27" s="31">
        <f>IF(Setup!$H$2=0,-1,IF(A27=0,-1,A27*1/(Setup!$G$6)))</f>
        <v>-1</v>
      </c>
      <c r="F27" s="31"/>
      <c r="G27" s="87">
        <f>MAX(E2:E999)/I39</f>
        <v>1.1414609053497944</v>
      </c>
      <c r="H27" s="87"/>
      <c r="J27" s="33"/>
    </row>
    <row r="28" spans="1:11" ht="15.75" x14ac:dyDescent="0.25">
      <c r="A28"/>
      <c r="B28"/>
      <c r="C28" s="29" t="str">
        <f>IF(B28=0,"EMPTY",Setup!$D$11*((PI()*2*Setup!$B$22*A28*B28)/33000))</f>
        <v>EMPTY</v>
      </c>
      <c r="D28" s="30" t="str">
        <f>IF(Setup!$H$2=0,"EMPTY",IF(B28=0,"EMPTY",B28*Setup!$B$22*Setup!$G$6*Setup!$D$11))</f>
        <v>EMPTY</v>
      </c>
      <c r="E28" s="31">
        <f>IF(Setup!$H$2=0,-1,IF(A28=0,-1,A28*1/(Setup!$G$6)))</f>
        <v>-1</v>
      </c>
      <c r="F28" s="31"/>
      <c r="J28" s="33"/>
    </row>
    <row r="29" spans="1:11" ht="15.75" x14ac:dyDescent="0.25">
      <c r="A29"/>
      <c r="B29"/>
      <c r="C29" s="29" t="str">
        <f>IF(B29=0,"EMPTY",Setup!$D$11*((PI()*2*Setup!$B$22*A29*B29)/33000))</f>
        <v>EMPTY</v>
      </c>
      <c r="D29" s="30" t="str">
        <f>IF(Setup!$H$2=0,"EMPTY",IF(B29=0,"EMPTY",B29*Setup!$B$22*Setup!$G$6*Setup!$D$11))</f>
        <v>EMPTY</v>
      </c>
      <c r="E29" s="31">
        <f>IF(Setup!$H$2=0,-1,IF(A29=0,-1,A29*1/(Setup!$G$6)))</f>
        <v>-1</v>
      </c>
      <c r="F29" s="31"/>
    </row>
    <row r="30" spans="1:11" ht="15.75" x14ac:dyDescent="0.25">
      <c r="A30"/>
      <c r="B30"/>
      <c r="C30" s="29" t="str">
        <f>IF(B30=0,"EMPTY",Setup!$D$11*((PI()*2*Setup!$B$22*A30*B30)/33000))</f>
        <v>EMPTY</v>
      </c>
      <c r="D30" s="30" t="str">
        <f>IF(Setup!$H$2=0,"EMPTY",IF(B30=0,"EMPTY",B30*Setup!$B$22*Setup!$G$6*Setup!$D$11))</f>
        <v>EMPTY</v>
      </c>
      <c r="E30" s="31">
        <f>IF(Setup!$H$2=0,-1,IF(A30=0,-1,A30*1/(Setup!$G$6)))</f>
        <v>-1</v>
      </c>
      <c r="F30" s="31"/>
    </row>
    <row r="31" spans="1:11" ht="15.75" x14ac:dyDescent="0.25">
      <c r="A31"/>
      <c r="B31"/>
      <c r="C31" s="29" t="str">
        <f>IF(B31=0,"EMPTY",Setup!$D$11*((PI()*2*Setup!$B$22*A31*B31)/33000))</f>
        <v>EMPTY</v>
      </c>
      <c r="D31" s="30" t="str">
        <f>IF(Setup!$H$2=0,"EMPTY",IF(B31=0,"EMPTY",B31*Setup!$B$22*Setup!$G$6*Setup!$D$11))</f>
        <v>EMPTY</v>
      </c>
      <c r="E31" s="31">
        <f>IF(Setup!$H$2=0,-1,IF(A31=0,-1,A31*1/(Setup!$G$6)))</f>
        <v>-1</v>
      </c>
      <c r="F31" s="31"/>
    </row>
    <row r="32" spans="1:11" ht="23.25" x14ac:dyDescent="0.35">
      <c r="A32"/>
      <c r="B32"/>
      <c r="C32" s="29" t="str">
        <f>IF(B32=0,"EMPTY",Setup!$D$11*((PI()*2*Setup!$B$22*A32*B32)/33000))</f>
        <v>EMPTY</v>
      </c>
      <c r="D32" s="30" t="str">
        <f>IF(Setup!$H$2=0,"EMPTY",IF(B32=0,"EMPTY",B32*Setup!$B$22*Setup!$G$6*Setup!$D$11))</f>
        <v>EMPTY</v>
      </c>
      <c r="E32" s="31">
        <f>IF(Setup!$H$2=0,-1,IF(A32=0,-1,A32*1/(Setup!$G$6)))</f>
        <v>-1</v>
      </c>
      <c r="F32" s="31"/>
      <c r="G32" s="115" t="s">
        <v>7</v>
      </c>
      <c r="H32" s="115"/>
      <c r="I32" s="115"/>
    </row>
    <row r="33" spans="1:21" ht="23.25" x14ac:dyDescent="0.35">
      <c r="A33"/>
      <c r="B33"/>
      <c r="C33" s="29" t="str">
        <f>IF(B33=0,"EMPTY",Setup!$D$11*((PI()*2*Setup!$B$22*A33*B33)/33000))</f>
        <v>EMPTY</v>
      </c>
      <c r="D33" s="30" t="str">
        <f>IF(Setup!$H$2=0,"EMPTY",IF(B33=0,"EMPTY",B33*Setup!$B$22*Setup!$G$6*Setup!$D$11))</f>
        <v>EMPTY</v>
      </c>
      <c r="E33" s="31">
        <f>IF(Setup!$H$2=0,-1,IF(A33=0,-1,A33*1/(Setup!$G$6)))</f>
        <v>-1</v>
      </c>
      <c r="F33" s="31"/>
      <c r="G33" s="103" t="s">
        <v>8</v>
      </c>
      <c r="H33" s="104"/>
      <c r="I33" s="40">
        <f>Setup!D2</f>
        <v>60</v>
      </c>
      <c r="K33" s="32"/>
    </row>
    <row r="34" spans="1:21" ht="23.25" x14ac:dyDescent="0.35">
      <c r="A34"/>
      <c r="B34"/>
      <c r="C34" s="29" t="str">
        <f>IF(B34=0,"EMPTY",Setup!$D$11*((PI()*2*Setup!$B$22*A34*B34)/33000))</f>
        <v>EMPTY</v>
      </c>
      <c r="D34" s="30" t="str">
        <f>IF(Setup!$H$2=0,"EMPTY",IF(B34=0,"EMPTY",B34*Setup!$B$22*Setup!$G$6*Setup!$D$11))</f>
        <v>EMPTY</v>
      </c>
      <c r="E34" s="31">
        <f>IF(Setup!$H$2=0,-1,IF(A34=0,-1,A34*1/(Setup!$G$6)))</f>
        <v>-1</v>
      </c>
      <c r="F34" s="31"/>
      <c r="G34" s="95" t="s">
        <v>9</v>
      </c>
      <c r="H34" s="96"/>
      <c r="I34" s="41">
        <f>Setup!B2</f>
        <v>472</v>
      </c>
    </row>
    <row r="35" spans="1:21" ht="23.25" x14ac:dyDescent="0.35">
      <c r="A35"/>
      <c r="B35"/>
      <c r="C35" s="29" t="str">
        <f>IF(B35=0,"EMPTY",Setup!$D$11*((PI()*2*Setup!$B$22*A35*B35)/33000))</f>
        <v>EMPTY</v>
      </c>
      <c r="D35" s="30" t="str">
        <f>IF(Setup!$H$2=0,"EMPTY",IF(B35=0,"EMPTY",B35*Setup!$B$22*Setup!$G$6*Setup!$D$11))</f>
        <v>EMPTY</v>
      </c>
      <c r="E35" s="31">
        <f>IF(Setup!$H$2=0,-1,IF(A35=0,-1,A35*1/(Setup!$G$6)))</f>
        <v>-1</v>
      </c>
      <c r="F35" s="31"/>
      <c r="G35" s="95" t="s">
        <v>11</v>
      </c>
      <c r="H35" s="96"/>
      <c r="I35" s="41">
        <f>Setup!A2</f>
        <v>1952</v>
      </c>
    </row>
    <row r="36" spans="1:21" ht="23.25" x14ac:dyDescent="0.35">
      <c r="A36"/>
      <c r="B36"/>
      <c r="C36" s="29" t="str">
        <f>IF(B36=0,"EMPTY",Setup!$D$11*((PI()*2*Setup!$B$22*A36*B36)/33000))</f>
        <v>EMPTY</v>
      </c>
      <c r="D36" s="30" t="str">
        <f>IF(Setup!$H$2=0,"EMPTY",IF(B36=0,"EMPTY",B36*Setup!$B$22*Setup!$G$6*Setup!$D$11))</f>
        <v>EMPTY</v>
      </c>
      <c r="E36" s="31">
        <f>IF(Setup!$H$2=0,-1,IF(A36=0,-1,A36*1/(Setup!$G$6)))</f>
        <v>-1</v>
      </c>
      <c r="F36" s="31"/>
      <c r="G36" s="95" t="s">
        <v>13</v>
      </c>
      <c r="H36" s="96"/>
      <c r="I36" s="41" t="str">
        <f>Setup!G2</f>
        <v>G</v>
      </c>
    </row>
    <row r="37" spans="1:21" ht="23.25" x14ac:dyDescent="0.35">
      <c r="A37"/>
      <c r="B37"/>
      <c r="C37" s="29" t="str">
        <f>IF(B37=0,"EMPTY",Setup!$D$11*((PI()*2*Setup!$B$22*A37*B37)/33000))</f>
        <v>EMPTY</v>
      </c>
      <c r="D37" s="30" t="str">
        <f>IF(Setup!$H$2=0,"EMPTY",IF(B37=0,"EMPTY",B37*Setup!$B$22*Setup!$G$6*Setup!$D$11))</f>
        <v>EMPTY</v>
      </c>
      <c r="E37" s="31">
        <f>IF(Setup!$H$2=0,-1,IF(A37=0,-1,A37*1/(Setup!$G$6)))</f>
        <v>-1</v>
      </c>
      <c r="F37" s="31"/>
      <c r="G37" s="95" t="s">
        <v>5</v>
      </c>
      <c r="H37" s="96"/>
      <c r="I37" s="41">
        <f>Setup!E2</f>
        <v>40.24</v>
      </c>
    </row>
    <row r="38" spans="1:21" ht="23.25" x14ac:dyDescent="0.35">
      <c r="A38"/>
      <c r="B38"/>
      <c r="C38" s="29" t="str">
        <f>IF(B38=0,"EMPTY",Setup!$D$11*((PI()*2*Setup!$B$22*A38*B38)/33000))</f>
        <v>EMPTY</v>
      </c>
      <c r="D38" s="30" t="str">
        <f>IF(Setup!$H$2=0,"EMPTY",IF(B38=0,"EMPTY",B38*Setup!$B$22*Setup!$G$6*Setup!$D$11))</f>
        <v>EMPTY</v>
      </c>
      <c r="E38" s="31">
        <f>IF(Setup!$H$2=0,-1,IF(A38=0,-1,A38*1/(Setup!$G$6)))</f>
        <v>-1</v>
      </c>
      <c r="F38" s="31"/>
      <c r="G38" s="97" t="s">
        <v>14</v>
      </c>
      <c r="H38" s="98"/>
      <c r="I38" s="42">
        <f>Setup!F2</f>
        <v>35.299999999999997</v>
      </c>
    </row>
    <row r="39" spans="1:21" ht="23.25" x14ac:dyDescent="0.35">
      <c r="A39"/>
      <c r="B39"/>
      <c r="C39" s="29" t="str">
        <f>IF(B39=0,"EMPTY",Setup!$D$11*((PI()*2*Setup!$B$22*A39*B39)/33000))</f>
        <v>EMPTY</v>
      </c>
      <c r="D39" s="30" t="str">
        <f>IF(Setup!$H$2=0,"EMPTY",IF(B39=0,"EMPTY",B39*Setup!$B$22*Setup!$G$6*Setup!$D$11))</f>
        <v>EMPTY</v>
      </c>
      <c r="E39" s="31">
        <f>IF(Setup!$H$2=0,-1,IF(A39=0,-1,A39*1/(Setup!$G$6)))</f>
        <v>-1</v>
      </c>
      <c r="F39" s="31"/>
      <c r="G39" s="89" t="s">
        <v>16</v>
      </c>
      <c r="H39" s="90"/>
      <c r="I39" s="43">
        <f>Setup!H2</f>
        <v>975</v>
      </c>
    </row>
    <row r="40" spans="1:21" ht="15.75" x14ac:dyDescent="0.25">
      <c r="A40"/>
      <c r="B40"/>
      <c r="C40" s="29" t="str">
        <f>IF(B40=0,"EMPTY",Setup!$D$11*((PI()*2*Setup!$B$22*A40*B40)/33000))</f>
        <v>EMPTY</v>
      </c>
      <c r="D40" s="30" t="str">
        <f>IF(Setup!$H$2=0,"EMPTY",IF(B40=0,"EMPTY",B40*Setup!$B$22*Setup!$G$6*Setup!$D$11))</f>
        <v>EMPTY</v>
      </c>
      <c r="E40" s="31">
        <f>IF(Setup!$H$2=0,-1,IF(A40=0,-1,A40*1/(Setup!$G$6)))</f>
        <v>-1</v>
      </c>
      <c r="F40" s="31"/>
    </row>
    <row r="41" spans="1:21" ht="15.75" x14ac:dyDescent="0.25">
      <c r="A41"/>
      <c r="B41"/>
      <c r="C41" s="29" t="str">
        <f>IF(B41=0,"EMPTY",Setup!$D$11*((PI()*2*Setup!$B$22*A41*B41)/33000))</f>
        <v>EMPTY</v>
      </c>
      <c r="D41" s="30" t="str">
        <f>IF(Setup!$H$2=0,"EMPTY",IF(B41=0,"EMPTY",B41*Setup!$B$22*Setup!$G$6*Setup!$D$11))</f>
        <v>EMPTY</v>
      </c>
      <c r="E41" s="31">
        <f>IF(Setup!$H$2=0,-1,IF(A41=0,-1,A41*1/(Setup!$G$6)))</f>
        <v>-1</v>
      </c>
      <c r="F41" s="31"/>
    </row>
    <row r="42" spans="1:21" ht="15.75" x14ac:dyDescent="0.25">
      <c r="A42"/>
      <c r="B42"/>
      <c r="C42" s="29" t="str">
        <f>IF(B42=0,"EMPTY",Setup!$D$11*((PI()*2*Setup!$B$22*A42*B42)/33000))</f>
        <v>EMPTY</v>
      </c>
      <c r="D42" s="30" t="str">
        <f>IF(Setup!$H$2=0,"EMPTY",IF(B42=0,"EMPTY",B42*Setup!$B$22*Setup!$G$6*Setup!$D$11))</f>
        <v>EMPTY</v>
      </c>
      <c r="E42" s="31">
        <f>IF(Setup!$H$2=0,-1,IF(A42=0,-1,A42*1/(Setup!$G$6)))</f>
        <v>-1</v>
      </c>
      <c r="F42" s="31"/>
    </row>
    <row r="43" spans="1:21" ht="15.75" x14ac:dyDescent="0.25">
      <c r="A43"/>
      <c r="B43"/>
      <c r="C43" s="29" t="str">
        <f>IF(B43=0,"EMPTY",Setup!$D$11*((PI()*2*Setup!$B$22*A43*B43)/33000))</f>
        <v>EMPTY</v>
      </c>
      <c r="D43" s="30" t="str">
        <f>IF(Setup!$H$2=0,"EMPTY",IF(B43=0,"EMPTY",B43*Setup!$B$22*Setup!$G$6*Setup!$D$11))</f>
        <v>EMPTY</v>
      </c>
      <c r="E43" s="31">
        <f>IF(Setup!$H$2=0,-1,IF(A43=0,-1,A43*1/(Setup!$G$6)))</f>
        <v>-1</v>
      </c>
      <c r="F43" s="31"/>
    </row>
    <row r="44" spans="1:21" ht="15.75" x14ac:dyDescent="0.25">
      <c r="A44"/>
      <c r="B44"/>
      <c r="C44" s="29" t="str">
        <f>IF(B44=0,"EMPTY",Setup!$D$11*((PI()*2*Setup!$B$22*A44*B44)/33000))</f>
        <v>EMPTY</v>
      </c>
      <c r="D44" s="30" t="str">
        <f>IF(Setup!$H$2=0,"EMPTY",IF(B44=0,"EMPTY",B44*Setup!$B$22*Setup!$G$6*Setup!$D$11))</f>
        <v>EMPTY</v>
      </c>
      <c r="E44" s="31">
        <f>IF(Setup!$H$2=0,-1,IF(A44=0,-1,A44*1/(Setup!$G$6)))</f>
        <v>-1</v>
      </c>
      <c r="F44" s="31"/>
    </row>
    <row r="45" spans="1:21" ht="15.75" x14ac:dyDescent="0.25">
      <c r="A45"/>
      <c r="B45"/>
      <c r="C45" s="29" t="str">
        <f>IF(B45=0,"EMPTY",Setup!$D$11*((PI()*2*Setup!$B$22*A45*B45)/33000))</f>
        <v>EMPTY</v>
      </c>
      <c r="D45" s="30" t="str">
        <f>IF(Setup!$H$2=0,"EMPTY",IF(B45=0,"EMPTY",B45*Setup!$B$22*Setup!$G$6*Setup!$D$11))</f>
        <v>EMPTY</v>
      </c>
      <c r="E45" s="31">
        <f>IF(Setup!$H$2=0,-1,IF(A45=0,-1,A45*1/(Setup!$G$6)))</f>
        <v>-1</v>
      </c>
      <c r="F45" s="31"/>
      <c r="U45" s="27" t="s">
        <v>219</v>
      </c>
    </row>
    <row r="46" spans="1:21" ht="15.75" x14ac:dyDescent="0.25">
      <c r="A46"/>
      <c r="B46"/>
      <c r="C46" s="29" t="str">
        <f>IF(B46=0,"EMPTY",Setup!$D$11*((PI()*2*Setup!$B$22*A46*B46)/33000))</f>
        <v>EMPTY</v>
      </c>
      <c r="D46" s="30" t="str">
        <f>IF(Setup!$H$2=0,"EMPTY",IF(B46=0,"EMPTY",B46*Setup!$B$22*Setup!$G$6*Setup!$D$11))</f>
        <v>EMPTY</v>
      </c>
      <c r="E46" s="31">
        <f>IF(Setup!$H$2=0,-1,IF(A46=0,-1,A46*1/(Setup!$G$6)))</f>
        <v>-1</v>
      </c>
      <c r="F46" s="31"/>
    </row>
    <row r="47" spans="1:21" ht="15.75" x14ac:dyDescent="0.25">
      <c r="A47"/>
      <c r="B47"/>
      <c r="C47" s="29" t="str">
        <f>IF(B47=0,"EMPTY",Setup!$D$11*((PI()*2*Setup!$B$22*A47*B47)/33000))</f>
        <v>EMPTY</v>
      </c>
      <c r="D47" s="30" t="str">
        <f>IF(Setup!$H$2=0,"EMPTY",IF(B47=0,"EMPTY",B47*Setup!$B$22*Setup!$G$6*Setup!$D$11))</f>
        <v>EMPTY</v>
      </c>
      <c r="E47" s="31">
        <f>IF(Setup!$H$2=0,-1,IF(A47=0,-1,A47*1/(Setup!$G$6)))</f>
        <v>-1</v>
      </c>
      <c r="F47" s="31"/>
      <c r="L47" s="71" t="s">
        <v>603</v>
      </c>
      <c r="M47" s="71" t="s">
        <v>604</v>
      </c>
    </row>
    <row r="48" spans="1:21" ht="15.75" x14ac:dyDescent="0.25">
      <c r="A48"/>
      <c r="B48"/>
      <c r="C48" s="29" t="str">
        <f>IF(B48=0,"EMPTY",Setup!$D$11*((PI()*2*Setup!$B$22*A48*B48)/33000))</f>
        <v>EMPTY</v>
      </c>
      <c r="D48" s="30" t="str">
        <f>IF(Setup!$H$2=0,"EMPTY",IF(B48=0,"EMPTY",B48*Setup!$B$22*Setup!$G$6*Setup!$D$11))</f>
        <v>EMPTY</v>
      </c>
      <c r="E48" s="31">
        <f>IF(Setup!$H$2=0,-1,IF(A48=0,-1,A48*1/(Setup!$G$6)))</f>
        <v>-1</v>
      </c>
      <c r="F48" s="31"/>
      <c r="L48" s="72">
        <f>_xlfn.XLOOKUP(MAX(C2:C999),C2:C999,E2:E999)</f>
        <v>1112.9243827160494</v>
      </c>
      <c r="M48" s="71">
        <f>_xlfn.XLOOKUP(MAX(D2:D999),D2:D999,E2:E999)</f>
        <v>1033.4297839506173</v>
      </c>
    </row>
    <row r="49" spans="1:12" ht="15.75" x14ac:dyDescent="0.25">
      <c r="A49"/>
      <c r="B49"/>
      <c r="C49" s="29" t="str">
        <f>IF(B49=0,"EMPTY",Setup!$D$11*((PI()*2*Setup!$B$22*A49*B49)/33000))</f>
        <v>EMPTY</v>
      </c>
      <c r="D49" s="30" t="str">
        <f>IF(Setup!$H$2=0,"EMPTY",IF(B49=0,"EMPTY",B49*Setup!$B$22*Setup!$G$6*Setup!$D$11))</f>
        <v>EMPTY</v>
      </c>
      <c r="E49" s="31">
        <f>IF(Setup!$H$2=0,-1,IF(A49=0,-1,A49*1/(Setup!$G$6)))</f>
        <v>-1</v>
      </c>
      <c r="F49" s="31"/>
    </row>
    <row r="50" spans="1:12" ht="15.75" x14ac:dyDescent="0.25">
      <c r="A50"/>
      <c r="B50"/>
      <c r="C50" s="29" t="str">
        <f>IF(B50=0,"EMPTY",Setup!$D$11*((PI()*2*Setup!$B$22*A50*B50)/33000))</f>
        <v>EMPTY</v>
      </c>
      <c r="D50" s="30" t="str">
        <f>IF(Setup!$H$2=0,"EMPTY",IF(B50=0,"EMPTY",B50*Setup!$B$22*Setup!$G$6*Setup!$D$11))</f>
        <v>EMPTY</v>
      </c>
      <c r="E50" s="31">
        <f>IF(Setup!$H$2=0,-1,IF(A50=0,-1,A50*1/(Setup!$G$6)))</f>
        <v>-1</v>
      </c>
      <c r="F50" s="31"/>
    </row>
    <row r="51" spans="1:12" ht="15.75" x14ac:dyDescent="0.25">
      <c r="A51"/>
      <c r="B51"/>
      <c r="C51" s="29" t="str">
        <f>IF(B51=0,"EMPTY",Setup!$D$11*((PI()*2*Setup!$B$22*A51*B51)/33000))</f>
        <v>EMPTY</v>
      </c>
      <c r="D51" s="30" t="str">
        <f>IF(Setup!$H$2=0,"EMPTY",IF(B51=0,"EMPTY",B51*Setup!$B$22*Setup!$G$6*Setup!$D$11))</f>
        <v>EMPTY</v>
      </c>
      <c r="E51" s="31">
        <f>IF(Setup!$H$2=0,-1,IF(A51=0,-1,A51*1/(Setup!$G$6)))</f>
        <v>-1</v>
      </c>
      <c r="F51" s="31"/>
      <c r="L51" s="71" t="s">
        <v>639</v>
      </c>
    </row>
    <row r="52" spans="1:12" ht="15.75" x14ac:dyDescent="0.25">
      <c r="A52"/>
      <c r="B52"/>
      <c r="C52" s="29" t="str">
        <f>IF(B52=0,"EMPTY",Setup!$D$11*((PI()*2*Setup!$B$22*A52*B52)/33000))</f>
        <v>EMPTY</v>
      </c>
      <c r="D52" s="30" t="str">
        <f>IF(Setup!$H$2=0,"EMPTY",IF(B52=0,"EMPTY",B52*Setup!$B$22*Setup!$G$6*Setup!$D$11))</f>
        <v>EMPTY</v>
      </c>
      <c r="E52" s="31">
        <f>IF(Setup!$H$2=0,-1,IF(A52=0,-1,A52*1/(Setup!$G$6)))</f>
        <v>-1</v>
      </c>
      <c r="F52" s="31"/>
    </row>
    <row r="53" spans="1:12" ht="15.75" x14ac:dyDescent="0.25">
      <c r="A53"/>
      <c r="B53"/>
      <c r="C53" s="29" t="str">
        <f>IF(B53=0,"EMPTY",Setup!$D$11*((PI()*2*Setup!$B$22*A53*B53)/33000))</f>
        <v>EMPTY</v>
      </c>
      <c r="D53" s="30" t="str">
        <f>IF(Setup!$H$2=0,"EMPTY",IF(B53=0,"EMPTY",B53*Setup!$B$22*Setup!$G$6*Setup!$D$11))</f>
        <v>EMPTY</v>
      </c>
      <c r="E53" s="31">
        <f>IF(Setup!$H$2=0,-1,IF(A53=0,-1,A53*1/(Setup!$G$6)))</f>
        <v>-1</v>
      </c>
      <c r="F53" s="31"/>
    </row>
    <row r="54" spans="1:12" ht="15.75" x14ac:dyDescent="0.25">
      <c r="A54"/>
      <c r="B54"/>
      <c r="C54" s="29" t="str">
        <f>IF(B54=0,"EMPTY",Setup!$D$11*((PI()*2*Setup!$B$22*A54*B54)/33000))</f>
        <v>EMPTY</v>
      </c>
      <c r="D54" s="30" t="str">
        <f>IF(Setup!$H$2=0,"EMPTY",IF(B54=0,"EMPTY",B54*Setup!$B$22*Setup!$G$6*Setup!$D$11))</f>
        <v>EMPTY</v>
      </c>
      <c r="E54" s="31">
        <f>IF(Setup!$H$2=0,-1,IF(A54=0,-1,A54*1/(Setup!$G$6)))</f>
        <v>-1</v>
      </c>
      <c r="F54" s="31"/>
    </row>
    <row r="55" spans="1:12" ht="15.75" x14ac:dyDescent="0.25">
      <c r="A55"/>
      <c r="B55"/>
      <c r="C55" s="29" t="str">
        <f>IF(B55=0,"EMPTY",Setup!$D$11*((PI()*2*Setup!$B$22*A55*B55)/33000))</f>
        <v>EMPTY</v>
      </c>
      <c r="D55" s="30" t="str">
        <f>IF(Setup!$H$2=0,"EMPTY",IF(B55=0,"EMPTY",B55*Setup!$B$22*Setup!$G$6*Setup!$D$11))</f>
        <v>EMPTY</v>
      </c>
      <c r="E55" s="31">
        <f>IF(Setup!$H$2=0,-1,IF(A55=0,-1,A55*1/(Setup!$G$6)))</f>
        <v>-1</v>
      </c>
      <c r="F55" s="31"/>
    </row>
    <row r="56" spans="1:12" ht="15.75" x14ac:dyDescent="0.25">
      <c r="A56"/>
      <c r="B56"/>
      <c r="C56" s="29" t="str">
        <f>IF(B56=0,"EMPTY",Setup!$D$11*((PI()*2*Setup!$B$22*A56*B56)/33000))</f>
        <v>EMPTY</v>
      </c>
      <c r="D56" s="30" t="str">
        <f>IF(Setup!$H$2=0,"EMPTY",IF(B56=0,"EMPTY",B56*Setup!$B$22*Setup!$G$6*Setup!$D$11))</f>
        <v>EMPTY</v>
      </c>
      <c r="E56" s="31">
        <f>IF(Setup!$H$2=0,-1,IF(A56=0,-1,A56*1/(Setup!$G$6)))</f>
        <v>-1</v>
      </c>
      <c r="F56" s="31"/>
    </row>
    <row r="57" spans="1:12" ht="15.75" x14ac:dyDescent="0.25">
      <c r="A57"/>
      <c r="B57"/>
      <c r="C57" s="29" t="str">
        <f>IF(B57=0,"EMPTY",Setup!$D$11*((PI()*2*Setup!$B$22*A57*B57)/33000))</f>
        <v>EMPTY</v>
      </c>
      <c r="D57" s="30" t="str">
        <f>IF(Setup!$H$2=0,"EMPTY",IF(B57=0,"EMPTY",B57*Setup!$B$22*Setup!$G$6*Setup!$D$11))</f>
        <v>EMPTY</v>
      </c>
      <c r="E57" s="31">
        <f>IF(Setup!$H$2=0,-1,IF(A57=0,-1,A57*1/(Setup!$G$6)))</f>
        <v>-1</v>
      </c>
      <c r="F57" s="31"/>
    </row>
    <row r="58" spans="1:12" ht="15.75" x14ac:dyDescent="0.25">
      <c r="A58"/>
      <c r="B58"/>
      <c r="C58" s="29" t="str">
        <f>IF(B58=0,"EMPTY",Setup!$D$11*((PI()*2*Setup!$B$22*A58*B58)/33000))</f>
        <v>EMPTY</v>
      </c>
      <c r="D58" s="30" t="str">
        <f>IF(Setup!$H$2=0,"EMPTY",IF(B58=0,"EMPTY",B58*Setup!$B$22*Setup!$G$6*Setup!$D$11))</f>
        <v>EMPTY</v>
      </c>
      <c r="E58" s="31">
        <f>IF(Setup!$H$2=0,-1,IF(A58=0,-1,A58*1/(Setup!$G$6)))</f>
        <v>-1</v>
      </c>
      <c r="F58" s="31"/>
    </row>
    <row r="59" spans="1:12" ht="15.75" x14ac:dyDescent="0.25">
      <c r="A59"/>
      <c r="B59"/>
      <c r="C59" s="29" t="str">
        <f>IF(B59=0,"EMPTY",Setup!$D$11*((PI()*2*Setup!$B$22*A59*B59)/33000))</f>
        <v>EMPTY</v>
      </c>
      <c r="D59" s="30" t="str">
        <f>IF(Setup!$H$2=0,"EMPTY",IF(B59=0,"EMPTY",B59*Setup!$B$22*Setup!$G$6*Setup!$D$11))</f>
        <v>EMPTY</v>
      </c>
      <c r="E59" s="31">
        <f>IF(Setup!$H$2=0,-1,IF(A59=0,-1,A59*1/(Setup!$G$6)))</f>
        <v>-1</v>
      </c>
      <c r="F59" s="31"/>
    </row>
    <row r="60" spans="1:12" ht="15.75" x14ac:dyDescent="0.25">
      <c r="A60"/>
      <c r="B60"/>
      <c r="C60" s="29" t="str">
        <f>IF(B60=0,"EMPTY",Setup!$D$11*((PI()*2*Setup!$B$22*A60*B60)/33000))</f>
        <v>EMPTY</v>
      </c>
      <c r="D60" s="30" t="str">
        <f>IF(Setup!$H$2=0,"EMPTY",IF(B60=0,"EMPTY",B60*Setup!$B$22*Setup!$G$6*Setup!$D$11))</f>
        <v>EMPTY</v>
      </c>
      <c r="E60" s="31">
        <f>IF(Setup!$H$2=0,-1,IF(A60=0,-1,A60*1/(Setup!$G$6)))</f>
        <v>-1</v>
      </c>
      <c r="F60" s="31"/>
    </row>
    <row r="61" spans="1:12" ht="15.75" x14ac:dyDescent="0.25">
      <c r="A61"/>
      <c r="B61"/>
      <c r="C61" s="29" t="str">
        <f>IF(B61=0,"EMPTY",Setup!$D$11*((PI()*2*Setup!$B$22*A61*B61)/33000))</f>
        <v>EMPTY</v>
      </c>
      <c r="D61" s="30" t="str">
        <f>IF(Setup!$H$2=0,"EMPTY",IF(B61=0,"EMPTY",B61*Setup!$B$22*Setup!$G$6*Setup!$D$11))</f>
        <v>EMPTY</v>
      </c>
      <c r="E61" s="31">
        <f>IF(Setup!$H$2=0,-1,IF(A61=0,-1,A61*1/(Setup!$G$6)))</f>
        <v>-1</v>
      </c>
      <c r="F61" s="31"/>
    </row>
    <row r="62" spans="1:12" ht="15.75" x14ac:dyDescent="0.25">
      <c r="A62"/>
      <c r="B62"/>
      <c r="C62" s="29" t="str">
        <f>IF(B62=0,"EMPTY",Setup!$D$11*((PI()*2*Setup!$B$22*A62*B62)/33000))</f>
        <v>EMPTY</v>
      </c>
      <c r="D62" s="30" t="str">
        <f>IF(Setup!$H$2=0,"EMPTY",IF(B62=0,"EMPTY",B62*Setup!$B$22*Setup!$G$6*Setup!$D$11))</f>
        <v>EMPTY</v>
      </c>
      <c r="E62" s="31">
        <f>IF(Setup!$H$2=0,-1,IF(A62=0,-1,A62*1/(Setup!$G$6)))</f>
        <v>-1</v>
      </c>
      <c r="F62" s="31"/>
    </row>
    <row r="63" spans="1:12" ht="15.75" x14ac:dyDescent="0.25">
      <c r="A63"/>
      <c r="B63"/>
      <c r="C63" s="29" t="str">
        <f>IF(B63=0,"EMPTY",Setup!$D$11*((PI()*2*Setup!$B$22*A63*B63)/33000))</f>
        <v>EMPTY</v>
      </c>
      <c r="D63" s="30" t="str">
        <f>IF(Setup!$H$2=0,"EMPTY",IF(B63=0,"EMPTY",B63*Setup!$B$22*Setup!$G$6*Setup!$D$11))</f>
        <v>EMPTY</v>
      </c>
      <c r="E63" s="31">
        <f>IF(Setup!$H$2=0,-1,IF(A63=0,-1,A63*1/(Setup!$G$6)))</f>
        <v>-1</v>
      </c>
      <c r="F63" s="31"/>
    </row>
    <row r="64" spans="1:12" ht="15.75" x14ac:dyDescent="0.25">
      <c r="A64"/>
      <c r="B64"/>
      <c r="C64" s="29" t="str">
        <f>IF(B64=0,"EMPTY",Setup!$D$11*((PI()*2*Setup!$B$22*A64*B64)/33000))</f>
        <v>EMPTY</v>
      </c>
      <c r="D64" s="30" t="str">
        <f>IF(Setup!$H$2=0,"EMPTY",IF(B64=0,"EMPTY",B64*Setup!$B$22*Setup!$G$6*Setup!$D$11))</f>
        <v>EMPTY</v>
      </c>
      <c r="E64" s="31">
        <f>IF(Setup!$H$2=0,-1,IF(A64=0,-1,A64*1/(Setup!$G$6)))</f>
        <v>-1</v>
      </c>
      <c r="F64" s="31"/>
    </row>
    <row r="65" spans="1:6" ht="15.75" x14ac:dyDescent="0.25">
      <c r="A65"/>
      <c r="B65"/>
      <c r="C65" s="29" t="str">
        <f>IF(B65=0,"EMPTY",Setup!$D$11*((PI()*2*Setup!$B$22*A65*B65)/33000))</f>
        <v>EMPTY</v>
      </c>
      <c r="D65" s="30" t="str">
        <f>IF(Setup!$H$2=0,"EMPTY",IF(B65=0,"EMPTY",B65*Setup!$B$22*Setup!$G$6*Setup!$D$11))</f>
        <v>EMPTY</v>
      </c>
      <c r="E65" s="31">
        <f>IF(Setup!$H$2=0,-1,IF(A65=0,-1,A65*1/(Setup!$G$6)))</f>
        <v>-1</v>
      </c>
      <c r="F65" s="31"/>
    </row>
    <row r="66" spans="1:6" ht="15.75" x14ac:dyDescent="0.25">
      <c r="A66"/>
      <c r="B66"/>
      <c r="C66" s="29" t="str">
        <f>IF(B66=0,"EMPTY",Setup!$D$11*((PI()*2*Setup!$B$22*A66*B66)/33000))</f>
        <v>EMPTY</v>
      </c>
      <c r="D66" s="30" t="str">
        <f>IF(Setup!$H$2=0,"EMPTY",IF(B66=0,"EMPTY",B66*Setup!$B$22*Setup!$G$6*Setup!$D$11))</f>
        <v>EMPTY</v>
      </c>
      <c r="E66" s="31">
        <f>IF(Setup!$H$2=0,-1,IF(A66=0,-1,A66*1/(Setup!$G$6)))</f>
        <v>-1</v>
      </c>
      <c r="F66" s="31"/>
    </row>
    <row r="67" spans="1:6" ht="15.75" x14ac:dyDescent="0.25">
      <c r="A67"/>
      <c r="B67"/>
      <c r="C67" s="29" t="str">
        <f>IF(B67=0,"EMPTY",Setup!$D$11*((PI()*2*Setup!$B$22*A67*B67)/33000))</f>
        <v>EMPTY</v>
      </c>
      <c r="D67" s="30" t="str">
        <f>IF(Setup!$H$2=0,"EMPTY",IF(B67=0,"EMPTY",B67*Setup!$B$22*Setup!$G$6*Setup!$D$11))</f>
        <v>EMPTY</v>
      </c>
      <c r="E67" s="31">
        <f>IF(Setup!$H$2=0,-1,IF(A67=0,-1,A67*1/(Setup!$G$6)))</f>
        <v>-1</v>
      </c>
      <c r="F67" s="31"/>
    </row>
    <row r="68" spans="1:6" ht="15.75" x14ac:dyDescent="0.25">
      <c r="A68"/>
      <c r="B68"/>
      <c r="C68" s="29" t="str">
        <f>IF(B68=0,"EMPTY",Setup!$D$11*((PI()*2*Setup!$B$22*A68*B68)/33000))</f>
        <v>EMPTY</v>
      </c>
      <c r="D68" s="30" t="str">
        <f>IF(Setup!$H$2=0,"EMPTY",IF(B68=0,"EMPTY",B68*Setup!$B$22*Setup!$G$6*Setup!$D$11))</f>
        <v>EMPTY</v>
      </c>
      <c r="E68" s="31">
        <f>IF(Setup!$H$2=0,-1,IF(A68=0,-1,A68*1/(Setup!$G$6)))</f>
        <v>-1</v>
      </c>
      <c r="F68" s="31"/>
    </row>
    <row r="69" spans="1:6" ht="15.75" x14ac:dyDescent="0.25">
      <c r="A69"/>
      <c r="B69"/>
      <c r="C69" s="29" t="str">
        <f>IF(B69=0,"EMPTY",Setup!$D$11*((PI()*2*Setup!$B$22*A69*B69)/33000))</f>
        <v>EMPTY</v>
      </c>
      <c r="D69" s="30" t="str">
        <f>IF(Setup!$H$2=0,"EMPTY",IF(B69=0,"EMPTY",B69*Setup!$B$22*Setup!$G$6*Setup!$D$11))</f>
        <v>EMPTY</v>
      </c>
      <c r="E69" s="31">
        <f>IF(Setup!$H$2=0,-1,IF(A69=0,-1,A69*1/(Setup!$G$6)))</f>
        <v>-1</v>
      </c>
      <c r="F69" s="31"/>
    </row>
    <row r="70" spans="1:6" ht="15.75" x14ac:dyDescent="0.25">
      <c r="A70"/>
      <c r="B70"/>
      <c r="C70" s="29" t="str">
        <f>IF(B70=0,"EMPTY",Setup!$D$11*((PI()*2*Setup!$B$22*A70*B70)/33000))</f>
        <v>EMPTY</v>
      </c>
      <c r="D70" s="30" t="str">
        <f>IF(Setup!$H$2=0,"EMPTY",IF(B70=0,"EMPTY",B70*Setup!$B$22*Setup!$G$6*Setup!$D$11))</f>
        <v>EMPTY</v>
      </c>
      <c r="E70" s="31">
        <f>IF(Setup!$H$2=0,-1,IF(A70=0,-1,A70*1/(Setup!$G$6)))</f>
        <v>-1</v>
      </c>
      <c r="F70" s="31"/>
    </row>
    <row r="71" spans="1:6" ht="15.75" x14ac:dyDescent="0.25">
      <c r="A71"/>
      <c r="B71"/>
      <c r="C71" s="29" t="str">
        <f>IF(B71=0,"EMPTY",Setup!$D$11*((PI()*2*Setup!$B$22*A71*B71)/33000))</f>
        <v>EMPTY</v>
      </c>
      <c r="D71" s="30" t="str">
        <f>IF(Setup!$H$2=0,"EMPTY",IF(B71=0,"EMPTY",B71*Setup!$B$22*Setup!$G$6*Setup!$D$11))</f>
        <v>EMPTY</v>
      </c>
      <c r="E71" s="31">
        <f>IF(Setup!$H$2=0,-1,IF(A71=0,-1,A71*1/(Setup!$G$6)))</f>
        <v>-1</v>
      </c>
      <c r="F71" s="31"/>
    </row>
    <row r="72" spans="1:6" ht="15.75" x14ac:dyDescent="0.25">
      <c r="A72"/>
      <c r="B72"/>
      <c r="C72" s="29" t="str">
        <f>IF(B72=0,"EMPTY",Setup!$D$11*((PI()*2*Setup!$B$22*A72*B72)/33000))</f>
        <v>EMPTY</v>
      </c>
      <c r="D72" s="30" t="str">
        <f>IF(Setup!$H$2=0,"EMPTY",IF(B72=0,"EMPTY",B72*Setup!$B$22*Setup!$G$6*Setup!$D$11))</f>
        <v>EMPTY</v>
      </c>
      <c r="E72" s="31">
        <f>IF(Setup!$H$2=0,-1,IF(A72=0,-1,A72*1/(Setup!$G$6)))</f>
        <v>-1</v>
      </c>
      <c r="F72" s="31"/>
    </row>
    <row r="73" spans="1:6" ht="15.75" x14ac:dyDescent="0.25">
      <c r="A73"/>
      <c r="B73"/>
      <c r="C73" s="29" t="str">
        <f>IF(B73=0,"EMPTY",Setup!$D$11*((PI()*2*Setup!$B$22*A73*B73)/33000))</f>
        <v>EMPTY</v>
      </c>
      <c r="D73" s="30" t="str">
        <f>IF(Setup!$H$2=0,"EMPTY",IF(B73=0,"EMPTY",B73*Setup!$B$22*Setup!$G$6*Setup!$D$11))</f>
        <v>EMPTY</v>
      </c>
      <c r="E73" s="31">
        <f>IF(Setup!$H$2=0,-1,IF(A73=0,-1,A73*1/(Setup!$G$6)))</f>
        <v>-1</v>
      </c>
      <c r="F73" s="31"/>
    </row>
    <row r="74" spans="1:6" ht="15.75" x14ac:dyDescent="0.25">
      <c r="A74"/>
      <c r="B74"/>
      <c r="C74" s="29" t="str">
        <f>IF(B74=0,"EMPTY",Setup!$D$11*((PI()*2*Setup!$B$22*A74*B74)/33000))</f>
        <v>EMPTY</v>
      </c>
      <c r="D74" s="30" t="str">
        <f>IF(Setup!$H$2=0,"EMPTY",IF(B74=0,"EMPTY",B74*Setup!$B$22*Setup!$G$6*Setup!$D$11))</f>
        <v>EMPTY</v>
      </c>
      <c r="E74" s="31">
        <f>IF(Setup!$H$2=0,-1,IF(A74=0,-1,A74*1/(Setup!$G$6)))</f>
        <v>-1</v>
      </c>
      <c r="F74" s="31"/>
    </row>
    <row r="75" spans="1:6" ht="15.75" x14ac:dyDescent="0.25">
      <c r="A75"/>
      <c r="B75"/>
      <c r="C75" s="29" t="str">
        <f>IF(B75=0,"EMPTY",Setup!$D$11*((PI()*2*Setup!$B$22*A75*B75)/33000))</f>
        <v>EMPTY</v>
      </c>
      <c r="D75" s="30" t="str">
        <f>IF(Setup!$H$2=0,"EMPTY",IF(B75=0,"EMPTY",B75*Setup!$B$22*Setup!$G$6*Setup!$D$11))</f>
        <v>EMPTY</v>
      </c>
      <c r="E75" s="31">
        <f>IF(Setup!$H$2=0,-1,IF(A75=0,-1,A75*1/(Setup!$G$6)))</f>
        <v>-1</v>
      </c>
      <c r="F75" s="31"/>
    </row>
    <row r="76" spans="1:6" ht="15.75" x14ac:dyDescent="0.25">
      <c r="A76"/>
      <c r="B76"/>
      <c r="C76" s="29" t="str">
        <f>IF(B76=0,"EMPTY",Setup!$D$11*((PI()*2*Setup!$B$22*A76*B76)/33000))</f>
        <v>EMPTY</v>
      </c>
      <c r="D76" s="30" t="str">
        <f>IF(Setup!$H$2=0,"EMPTY",IF(B76=0,"EMPTY",B76*Setup!$B$22*Setup!$G$6*Setup!$D$11))</f>
        <v>EMPTY</v>
      </c>
      <c r="E76" s="31">
        <f>IF(Setup!$H$2=0,-1,IF(A76=0,-1,A76*1/(Setup!$G$6)))</f>
        <v>-1</v>
      </c>
      <c r="F76" s="31"/>
    </row>
    <row r="77" spans="1:6" ht="15.75" x14ac:dyDescent="0.25">
      <c r="A77"/>
      <c r="B77"/>
      <c r="C77" s="29" t="str">
        <f>IF(B77=0,"EMPTY",Setup!$D$11*((PI()*2*Setup!$B$22*A77*B77)/33000))</f>
        <v>EMPTY</v>
      </c>
      <c r="D77" s="30" t="str">
        <f>IF(Setup!$H$2=0,"EMPTY",IF(B77=0,"EMPTY",B77*Setup!$B$22*Setup!$G$6*Setup!$D$11))</f>
        <v>EMPTY</v>
      </c>
      <c r="E77" s="31">
        <f>IF(Setup!$H$2=0,-1,IF(A77=0,-1,A77*1/(Setup!$G$6)))</f>
        <v>-1</v>
      </c>
      <c r="F77" s="31"/>
    </row>
    <row r="78" spans="1:6" ht="15.75" x14ac:dyDescent="0.25">
      <c r="A78"/>
      <c r="B78"/>
      <c r="C78" s="29" t="str">
        <f>IF(B78=0,"EMPTY",Setup!$D$11*((PI()*2*Setup!$B$22*A78*B78)/33000))</f>
        <v>EMPTY</v>
      </c>
      <c r="D78" s="30" t="str">
        <f>IF(Setup!$H$2=0,"EMPTY",IF(B78=0,"EMPTY",B78*Setup!$B$22*Setup!$G$6*Setup!$D$11))</f>
        <v>EMPTY</v>
      </c>
      <c r="E78" s="31">
        <f>IF(Setup!$H$2=0,-1,IF(A78=0,-1,A78*1/(Setup!$G$6)))</f>
        <v>-1</v>
      </c>
      <c r="F78" s="31"/>
    </row>
    <row r="79" spans="1:6" ht="15.75" x14ac:dyDescent="0.25">
      <c r="A79"/>
      <c r="B79"/>
      <c r="C79" s="29" t="str">
        <f>IF(B79=0,"EMPTY",Setup!$D$11*((PI()*2*Setup!$B$22*A79*B79)/33000))</f>
        <v>EMPTY</v>
      </c>
      <c r="D79" s="30" t="str">
        <f>IF(Setup!$H$2=0,"EMPTY",IF(B79=0,"EMPTY",B79*Setup!$B$22*Setup!$G$6*Setup!$D$11))</f>
        <v>EMPTY</v>
      </c>
      <c r="E79" s="31">
        <f>IF(Setup!$H$2=0,-1,IF(A79=0,-1,A79*1/(Setup!$G$6)))</f>
        <v>-1</v>
      </c>
      <c r="F79" s="31"/>
    </row>
    <row r="80" spans="1:6" ht="15.75" x14ac:dyDescent="0.25">
      <c r="A80"/>
      <c r="B80"/>
      <c r="C80" s="29" t="str">
        <f>IF(B80=0,"EMPTY",Setup!$D$11*((PI()*2*Setup!$B$22*A80*B80)/33000))</f>
        <v>EMPTY</v>
      </c>
      <c r="D80" s="30" t="str">
        <f>IF(Setup!$H$2=0,"EMPTY",IF(B80=0,"EMPTY",B80*Setup!$B$22*Setup!$G$6*Setup!$D$11))</f>
        <v>EMPTY</v>
      </c>
      <c r="E80" s="31">
        <f>IF(Setup!$H$2=0,-1,IF(A80=0,-1,A80*1/(Setup!$G$6)))</f>
        <v>-1</v>
      </c>
      <c r="F80" s="31"/>
    </row>
    <row r="81" spans="1:6" ht="15.75" x14ac:dyDescent="0.25">
      <c r="A81"/>
      <c r="B81"/>
      <c r="C81" s="29" t="str">
        <f>IF(B81=0,"EMPTY",Setup!$D$11*((PI()*2*Setup!$B$22*A81*B81)/33000))</f>
        <v>EMPTY</v>
      </c>
      <c r="D81" s="30" t="str">
        <f>IF(Setup!$H$2=0,"EMPTY",IF(B81=0,"EMPTY",B81*Setup!$B$22*Setup!$G$6*Setup!$D$11))</f>
        <v>EMPTY</v>
      </c>
      <c r="E81" s="31">
        <f>IF(Setup!$H$2=0,-1,IF(A81=0,-1,A81*1/(Setup!$G$6)))</f>
        <v>-1</v>
      </c>
      <c r="F81" s="31"/>
    </row>
    <row r="82" spans="1:6" ht="15.75" x14ac:dyDescent="0.25">
      <c r="A82"/>
      <c r="B82"/>
      <c r="C82" s="29" t="str">
        <f>IF(B82=0,"EMPTY",Setup!$D$11*((PI()*2*Setup!$B$22*A82*B82)/33000))</f>
        <v>EMPTY</v>
      </c>
      <c r="D82" s="30" t="str">
        <f>IF(Setup!$H$2=0,"EMPTY",IF(B82=0,"EMPTY",B82*Setup!$B$22*Setup!$G$6*Setup!$D$11))</f>
        <v>EMPTY</v>
      </c>
      <c r="E82" s="31">
        <f>IF(Setup!$H$2=0,-1,IF(A82=0,-1,A82*1/(Setup!$G$6)))</f>
        <v>-1</v>
      </c>
      <c r="F82" s="31"/>
    </row>
    <row r="83" spans="1:6" ht="15.75" x14ac:dyDescent="0.25">
      <c r="A83"/>
      <c r="B83"/>
      <c r="C83" s="29" t="str">
        <f>IF(B83=0,"EMPTY",Setup!$D$11*((PI()*2*Setup!$B$22*A83*B83)/33000))</f>
        <v>EMPTY</v>
      </c>
      <c r="D83" s="30" t="str">
        <f>IF(Setup!$H$2=0,"EMPTY",IF(B83=0,"EMPTY",B83*Setup!$B$22*Setup!$G$6*Setup!$D$11))</f>
        <v>EMPTY</v>
      </c>
      <c r="E83" s="31">
        <f>IF(Setup!$H$2=0,-1,IF(A83=0,-1,A83*1/(Setup!$G$6)))</f>
        <v>-1</v>
      </c>
      <c r="F83" s="31"/>
    </row>
    <row r="84" spans="1:6" ht="15.75" x14ac:dyDescent="0.25">
      <c r="A84"/>
      <c r="B84"/>
      <c r="C84" s="29" t="str">
        <f>IF(B84=0,"EMPTY",Setup!$D$11*((PI()*2*Setup!$B$22*A84*B84)/33000))</f>
        <v>EMPTY</v>
      </c>
      <c r="D84" s="30" t="str">
        <f>IF(Setup!$H$2=0,"EMPTY",IF(B84=0,"EMPTY",B84*Setup!$B$22*Setup!$G$6*Setup!$D$11))</f>
        <v>EMPTY</v>
      </c>
      <c r="E84" s="31">
        <f>IF(Setup!$H$2=0,-1,IF(A84=0,-1,A84*1/(Setup!$G$6)))</f>
        <v>-1</v>
      </c>
      <c r="F84" s="31"/>
    </row>
    <row r="85" spans="1:6" ht="15.75" x14ac:dyDescent="0.25">
      <c r="A85"/>
      <c r="B85"/>
      <c r="C85" s="29" t="str">
        <f>IF(B85=0,"EMPTY",Setup!$D$11*((PI()*2*Setup!$B$22*A85*B85)/33000))</f>
        <v>EMPTY</v>
      </c>
      <c r="D85" s="30" t="str">
        <f>IF(Setup!$H$2=0,"EMPTY",IF(B85=0,"EMPTY",B85*Setup!$B$22*Setup!$G$6*Setup!$D$11))</f>
        <v>EMPTY</v>
      </c>
      <c r="E85" s="31">
        <f>IF(Setup!$H$2=0,-1,IF(A85=0,-1,A85*1/(Setup!$G$6)))</f>
        <v>-1</v>
      </c>
      <c r="F85" s="31"/>
    </row>
    <row r="86" spans="1:6" ht="15.75" x14ac:dyDescent="0.25">
      <c r="A86"/>
      <c r="B86"/>
      <c r="C86" s="29" t="str">
        <f>IF(B86=0,"EMPTY",Setup!$D$11*((PI()*2*Setup!$B$22*A86*B86)/33000))</f>
        <v>EMPTY</v>
      </c>
      <c r="D86" s="30" t="str">
        <f>IF(Setup!$H$2=0,"EMPTY",IF(B86=0,"EMPTY",B86*Setup!$B$22*Setup!$G$6*Setup!$D$11))</f>
        <v>EMPTY</v>
      </c>
      <c r="E86" s="31">
        <f>IF(Setup!$H$2=0,-1,IF(A86=0,-1,A86*1/(Setup!$G$6)))</f>
        <v>-1</v>
      </c>
      <c r="F86" s="31"/>
    </row>
    <row r="87" spans="1:6" ht="15.75" x14ac:dyDescent="0.25">
      <c r="A87"/>
      <c r="B87"/>
      <c r="C87" s="29" t="str">
        <f>IF(B87=0,"EMPTY",Setup!$D$11*((PI()*2*Setup!$B$22*A87*B87)/33000))</f>
        <v>EMPTY</v>
      </c>
      <c r="D87" s="30" t="str">
        <f>IF(Setup!$H$2=0,"EMPTY",IF(B87=0,"EMPTY",B87*Setup!$B$22*Setup!$G$6*Setup!$D$11))</f>
        <v>EMPTY</v>
      </c>
      <c r="E87" s="31">
        <f>IF(Setup!$H$2=0,-1,IF(A87=0,-1,A87*1/(Setup!$G$6)))</f>
        <v>-1</v>
      </c>
      <c r="F87" s="31"/>
    </row>
    <row r="88" spans="1:6" ht="15.75" x14ac:dyDescent="0.25">
      <c r="A88"/>
      <c r="B88"/>
      <c r="C88" s="29" t="str">
        <f>IF(B88=0,"EMPTY",Setup!$D$11*((PI()*2*Setup!$B$22*A88*B88)/33000))</f>
        <v>EMPTY</v>
      </c>
      <c r="D88" s="30" t="str">
        <f>IF(Setup!$H$2=0,"EMPTY",IF(B88=0,"EMPTY",B88*Setup!$B$22*Setup!$G$6*Setup!$D$11))</f>
        <v>EMPTY</v>
      </c>
      <c r="E88" s="31">
        <f>IF(Setup!$H$2=0,-1,IF(A88=0,-1,A88*1/(Setup!$G$6)))</f>
        <v>-1</v>
      </c>
      <c r="F88" s="31"/>
    </row>
    <row r="89" spans="1:6" ht="15.75" x14ac:dyDescent="0.25">
      <c r="A89"/>
      <c r="B89"/>
      <c r="C89" s="29" t="str">
        <f>IF(B89=0,"EMPTY",Setup!$D$11*((PI()*2*Setup!$B$22*A89*B89)/33000))</f>
        <v>EMPTY</v>
      </c>
      <c r="D89" s="30" t="str">
        <f>IF(Setup!$H$2=0,"EMPTY",IF(B89=0,"EMPTY",B89*Setup!$B$22*Setup!$G$6*Setup!$D$11))</f>
        <v>EMPTY</v>
      </c>
      <c r="E89" s="31">
        <f>IF(Setup!$H$2=0,-1,IF(A89=0,-1,A89*1/(Setup!$G$6)))</f>
        <v>-1</v>
      </c>
      <c r="F89" s="31"/>
    </row>
    <row r="90" spans="1:6" ht="15.75" x14ac:dyDescent="0.25">
      <c r="A90"/>
      <c r="B90"/>
      <c r="C90" s="29" t="str">
        <f>IF(B90=0,"EMPTY",Setup!$D$11*((PI()*2*Setup!$B$22*A90*B90)/33000))</f>
        <v>EMPTY</v>
      </c>
      <c r="D90" s="30" t="str">
        <f>IF(Setup!$H$2=0,"EMPTY",IF(B90=0,"EMPTY",B90*Setup!$B$22*Setup!$G$6*Setup!$D$11))</f>
        <v>EMPTY</v>
      </c>
      <c r="E90" s="31">
        <f>IF(Setup!$H$2=0,-1,IF(A90=0,-1,A90*1/(Setup!$G$6)))</f>
        <v>-1</v>
      </c>
      <c r="F90" s="31"/>
    </row>
    <row r="91" spans="1:6" ht="15.75" x14ac:dyDescent="0.25">
      <c r="A91"/>
      <c r="B91"/>
      <c r="C91" s="29" t="str">
        <f>IF(B91=0,"EMPTY",Setup!$D$11*((PI()*2*Setup!$B$22*A91*B91)/33000))</f>
        <v>EMPTY</v>
      </c>
      <c r="D91" s="30" t="str">
        <f>IF(Setup!$H$2=0,"EMPTY",IF(B91=0,"EMPTY",B91*Setup!$B$22*Setup!$G$6*Setup!$D$11))</f>
        <v>EMPTY</v>
      </c>
      <c r="E91" s="31">
        <f>IF(Setup!$H$2=0,-1,IF(A91=0,-1,A91*1/(Setup!$G$6)))</f>
        <v>-1</v>
      </c>
      <c r="F91" s="31"/>
    </row>
    <row r="92" spans="1:6" ht="15.75" x14ac:dyDescent="0.25">
      <c r="A92"/>
      <c r="B92"/>
      <c r="C92" s="29" t="str">
        <f>IF(B92=0,"EMPTY",Setup!$D$11*((PI()*2*Setup!$B$22*A92*B92)/33000))</f>
        <v>EMPTY</v>
      </c>
      <c r="D92" s="30" t="str">
        <f>IF(Setup!$H$2=0,"EMPTY",IF(B92=0,"EMPTY",B92*Setup!$B$22*Setup!$G$6*Setup!$D$11))</f>
        <v>EMPTY</v>
      </c>
      <c r="E92" s="31">
        <f>IF(Setup!$H$2=0,-1,IF(A92=0,-1,A92*1/(Setup!$G$6)))</f>
        <v>-1</v>
      </c>
      <c r="F92" s="31"/>
    </row>
    <row r="93" spans="1:6" ht="15.75" x14ac:dyDescent="0.25">
      <c r="A93"/>
      <c r="B93"/>
      <c r="C93" s="29" t="str">
        <f>IF(B93=0,"EMPTY",Setup!$D$11*((PI()*2*Setup!$B$22*A93*B93)/33000))</f>
        <v>EMPTY</v>
      </c>
      <c r="D93" s="30" t="str">
        <f>IF(Setup!$H$2=0,"EMPTY",IF(B93=0,"EMPTY",B93*Setup!$B$22*Setup!$G$6*Setup!$D$11))</f>
        <v>EMPTY</v>
      </c>
      <c r="E93" s="31">
        <f>IF(Setup!$H$2=0,-1,IF(A93=0,-1,A93*1/(Setup!$G$6)))</f>
        <v>-1</v>
      </c>
      <c r="F93" s="31"/>
    </row>
    <row r="94" spans="1:6" ht="15.75" x14ac:dyDescent="0.25">
      <c r="A94"/>
      <c r="B94"/>
      <c r="C94" s="29" t="str">
        <f>IF(B94=0,"EMPTY",Setup!$D$11*((PI()*2*Setup!$B$22*A94*B94)/33000))</f>
        <v>EMPTY</v>
      </c>
      <c r="D94" s="30" t="str">
        <f>IF(Setup!$H$2=0,"EMPTY",IF(B94=0,"EMPTY",B94*Setup!$B$22*Setup!$G$6*Setup!$D$11))</f>
        <v>EMPTY</v>
      </c>
      <c r="E94" s="31">
        <f>IF(Setup!$H$2=0,-1,IF(A94=0,-1,A94*1/(Setup!$G$6)))</f>
        <v>-1</v>
      </c>
      <c r="F94" s="31"/>
    </row>
    <row r="95" spans="1:6" ht="15.75" x14ac:dyDescent="0.25">
      <c r="A95"/>
      <c r="B95"/>
      <c r="C95" s="29" t="str">
        <f>IF(B95=0,"EMPTY",Setup!$D$11*((PI()*2*Setup!$B$22*A95*B95)/33000))</f>
        <v>EMPTY</v>
      </c>
      <c r="D95" s="30" t="str">
        <f>IF(Setup!$H$2=0,"EMPTY",IF(B95=0,"EMPTY",B95*Setup!$B$22*Setup!$G$6*Setup!$D$11))</f>
        <v>EMPTY</v>
      </c>
      <c r="E95" s="31">
        <f>IF(Setup!$H$2=0,-1,IF(A95=0,-1,A95*1/(Setup!$G$6)))</f>
        <v>-1</v>
      </c>
      <c r="F95" s="31"/>
    </row>
    <row r="96" spans="1:6" ht="15.75" x14ac:dyDescent="0.25">
      <c r="A96"/>
      <c r="B96"/>
      <c r="C96" s="29" t="str">
        <f>IF(B96=0,"EMPTY",Setup!$D$11*((PI()*2*Setup!$B$22*A96*B96)/33000))</f>
        <v>EMPTY</v>
      </c>
      <c r="D96" s="30" t="str">
        <f>IF(Setup!$H$2=0,"EMPTY",IF(B96=0,"EMPTY",B96*Setup!$B$22*Setup!$G$6*Setup!$D$11))</f>
        <v>EMPTY</v>
      </c>
      <c r="E96" s="31">
        <f>IF(Setup!$H$2=0,-1,IF(A96=0,-1,A96*1/(Setup!$G$6)))</f>
        <v>-1</v>
      </c>
      <c r="F96" s="31"/>
    </row>
    <row r="97" spans="1:6" ht="15.75" x14ac:dyDescent="0.25">
      <c r="A97"/>
      <c r="B97"/>
      <c r="C97" s="29" t="str">
        <f>IF(B97=0,"EMPTY",Setup!$D$11*((PI()*2*Setup!$B$22*A97*B97)/33000))</f>
        <v>EMPTY</v>
      </c>
      <c r="D97" s="30" t="str">
        <f>IF(Setup!$H$2=0,"EMPTY",IF(B97=0,"EMPTY",B97*Setup!$B$22*Setup!$G$6*Setup!$D$11))</f>
        <v>EMPTY</v>
      </c>
      <c r="E97" s="31">
        <f>IF(Setup!$H$2=0,-1,IF(A97=0,-1,A97*1/(Setup!$G$6)))</f>
        <v>-1</v>
      </c>
      <c r="F97" s="31"/>
    </row>
    <row r="98" spans="1:6" ht="15.75" x14ac:dyDescent="0.25">
      <c r="A98"/>
      <c r="B98"/>
      <c r="C98" s="29" t="str">
        <f>IF(B98=0,"EMPTY",Setup!$D$11*((PI()*2*Setup!$B$22*A98*B98)/33000))</f>
        <v>EMPTY</v>
      </c>
      <c r="D98" s="30" t="str">
        <f>IF(Setup!$H$2=0,"EMPTY",IF(B98=0,"EMPTY",B98*Setup!$B$22*Setup!$G$6*Setup!$D$11))</f>
        <v>EMPTY</v>
      </c>
      <c r="E98" s="31">
        <f>IF(Setup!$H$2=0,-1,IF(A98=0,-1,A98*1/(Setup!$G$6)))</f>
        <v>-1</v>
      </c>
      <c r="F98" s="31"/>
    </row>
    <row r="99" spans="1:6" ht="15.75" x14ac:dyDescent="0.25">
      <c r="A99"/>
      <c r="B99"/>
      <c r="C99" s="29" t="str">
        <f>IF(B99=0,"EMPTY",Setup!$D$11*((PI()*2*Setup!$B$22*A99*B99)/33000))</f>
        <v>EMPTY</v>
      </c>
      <c r="D99" s="30" t="str">
        <f>IF(Setup!$H$2=0,"EMPTY",IF(B99=0,"EMPTY",B99*Setup!$B$22*Setup!$G$6*Setup!$D$11))</f>
        <v>EMPTY</v>
      </c>
      <c r="E99" s="31">
        <f>IF(Setup!$H$2=0,-1,IF(A99=0,-1,A99*1/(Setup!$G$6)))</f>
        <v>-1</v>
      </c>
      <c r="F99" s="31"/>
    </row>
    <row r="100" spans="1:6" ht="15.75" x14ac:dyDescent="0.25">
      <c r="A100"/>
      <c r="B100"/>
      <c r="C100" s="29" t="str">
        <f>IF(B100=0,"EMPTY",Setup!$D$11*((PI()*2*Setup!$B$22*A100*B100)/33000))</f>
        <v>EMPTY</v>
      </c>
      <c r="D100" s="30" t="str">
        <f>IF(Setup!$H$2=0,"EMPTY",IF(B100=0,"EMPTY",B100*Setup!$B$22*Setup!$G$6*Setup!$D$11))</f>
        <v>EMPTY</v>
      </c>
      <c r="E100" s="31">
        <f>IF(Setup!$H$2=0,-1,IF(A100=0,-1,A100*1/(Setup!$G$6)))</f>
        <v>-1</v>
      </c>
      <c r="F100" s="31"/>
    </row>
    <row r="101" spans="1:6" ht="15.75" x14ac:dyDescent="0.25">
      <c r="A101"/>
      <c r="B101"/>
      <c r="C101" s="29" t="str">
        <f>IF(B101=0,"EMPTY",Setup!$D$11*((PI()*2*Setup!$B$22*A101*B101)/33000))</f>
        <v>EMPTY</v>
      </c>
      <c r="D101" s="30" t="str">
        <f>IF(Setup!$H$2=0,"EMPTY",IF(B101=0,"EMPTY",B101*Setup!$B$22*Setup!$G$6*Setup!$D$11))</f>
        <v>EMPTY</v>
      </c>
      <c r="E101" s="31">
        <f>IF(Setup!$H$2=0,-1,IF(A101=0,-1,A101*1/(Setup!$G$6)))</f>
        <v>-1</v>
      </c>
      <c r="F101" s="31"/>
    </row>
    <row r="102" spans="1:6" ht="15.75" x14ac:dyDescent="0.25">
      <c r="A102"/>
      <c r="B102"/>
      <c r="C102" s="29" t="str">
        <f>IF(B102=0,"EMPTY",Setup!$D$11*((PI()*2*Setup!$B$22*A102*B102)/33000))</f>
        <v>EMPTY</v>
      </c>
      <c r="D102" s="30" t="str">
        <f>IF(Setup!$H$2=0,"EMPTY",IF(B102=0,"EMPTY",B102*Setup!$B$22*Setup!$G$6*Setup!$D$11))</f>
        <v>EMPTY</v>
      </c>
      <c r="E102" s="31">
        <f>IF(Setup!$H$2=0,-1,IF(A102=0,-1,A102*1/(Setup!$G$6)))</f>
        <v>-1</v>
      </c>
      <c r="F102" s="31"/>
    </row>
    <row r="103" spans="1:6" ht="15.75" x14ac:dyDescent="0.25">
      <c r="A103"/>
      <c r="B103"/>
      <c r="C103" s="29" t="str">
        <f>IF(B103=0,"EMPTY",Setup!$D$11*((PI()*2*Setup!$B$22*A103*B103)/33000))</f>
        <v>EMPTY</v>
      </c>
      <c r="D103" s="30" t="str">
        <f>IF(Setup!$H$2=0,"EMPTY",IF(B103=0,"EMPTY",B103*Setup!$B$22*Setup!$G$6*Setup!$D$11))</f>
        <v>EMPTY</v>
      </c>
      <c r="E103" s="31">
        <f>IF(Setup!$H$2=0,-1,IF(A103=0,-1,A103*1/(Setup!$G$6)))</f>
        <v>-1</v>
      </c>
      <c r="F103" s="31"/>
    </row>
    <row r="104" spans="1:6" ht="15.75" x14ac:dyDescent="0.25">
      <c r="A104"/>
      <c r="B104"/>
      <c r="C104" s="29" t="str">
        <f>IF(B104=0,"EMPTY",Setup!$D$11*((PI()*2*Setup!$B$22*A104*B104)/33000))</f>
        <v>EMPTY</v>
      </c>
      <c r="D104" s="30" t="str">
        <f>IF(Setup!$H$2=0,"EMPTY",IF(B104=0,"EMPTY",B104*Setup!$B$22*Setup!$G$6*Setup!$D$11))</f>
        <v>EMPTY</v>
      </c>
      <c r="E104" s="31">
        <f>IF(Setup!$H$2=0,-1,IF(A104=0,-1,A104*1/(Setup!$G$6)))</f>
        <v>-1</v>
      </c>
      <c r="F104" s="31"/>
    </row>
    <row r="105" spans="1:6" ht="15.75" x14ac:dyDescent="0.25">
      <c r="A105"/>
      <c r="B105"/>
      <c r="C105" s="29" t="str">
        <f>IF(B105=0,"EMPTY",Setup!$D$11*((PI()*2*Setup!$B$22*A105*B105)/33000))</f>
        <v>EMPTY</v>
      </c>
      <c r="D105" s="30" t="str">
        <f>IF(Setup!$H$2=0,"EMPTY",IF(B105=0,"EMPTY",B105*Setup!$B$22*Setup!$G$6*Setup!$D$11))</f>
        <v>EMPTY</v>
      </c>
      <c r="E105" s="31">
        <f>IF(Setup!$H$2=0,-1,IF(A105=0,-1,A105*1/(Setup!$G$6)))</f>
        <v>-1</v>
      </c>
      <c r="F105" s="31"/>
    </row>
    <row r="106" spans="1:6" ht="15.75" x14ac:dyDescent="0.25">
      <c r="A106"/>
      <c r="B106"/>
      <c r="C106" s="29" t="str">
        <f>IF(B106=0,"EMPTY",Setup!$D$11*((PI()*2*Setup!$B$22*A106*B106)/33000))</f>
        <v>EMPTY</v>
      </c>
      <c r="D106" s="30" t="str">
        <f>IF(Setup!$H$2=0,"EMPTY",IF(B106=0,"EMPTY",B106*Setup!$B$22*Setup!$G$6*Setup!$D$11))</f>
        <v>EMPTY</v>
      </c>
      <c r="E106" s="31">
        <f>IF(Setup!$H$2=0,-1,IF(A106=0,-1,A106*1/(Setup!$G$6)))</f>
        <v>-1</v>
      </c>
      <c r="F106" s="31"/>
    </row>
    <row r="107" spans="1:6" ht="15.75" x14ac:dyDescent="0.25">
      <c r="A107"/>
      <c r="B107"/>
      <c r="C107" s="29" t="str">
        <f>IF(B107=0,"EMPTY",Setup!$D$11*((PI()*2*Setup!$B$22*A107*B107)/33000))</f>
        <v>EMPTY</v>
      </c>
      <c r="D107" s="30" t="str">
        <f>IF(Setup!$H$2=0,"EMPTY",IF(B107=0,"EMPTY",B107*Setup!$B$22*Setup!$G$6*Setup!$D$11))</f>
        <v>EMPTY</v>
      </c>
      <c r="E107" s="31">
        <f>IF(Setup!$H$2=0,-1,IF(A107=0,-1,A107*1/(Setup!$G$6)))</f>
        <v>-1</v>
      </c>
      <c r="F107" s="31"/>
    </row>
    <row r="108" spans="1:6" ht="15.75" x14ac:dyDescent="0.25">
      <c r="A108"/>
      <c r="B108"/>
      <c r="C108" s="29" t="str">
        <f>IF(B108=0,"EMPTY",Setup!$D$11*((PI()*2*Setup!$B$22*A108*B108)/33000))</f>
        <v>EMPTY</v>
      </c>
      <c r="D108" s="30" t="str">
        <f>IF(Setup!$H$2=0,"EMPTY",IF(B108=0,"EMPTY",B108*Setup!$B$22*Setup!$G$6*Setup!$D$11))</f>
        <v>EMPTY</v>
      </c>
      <c r="E108" s="31">
        <f>IF(Setup!$H$2=0,-1,IF(A108=0,-1,A108*1/(Setup!$G$6)))</f>
        <v>-1</v>
      </c>
      <c r="F108" s="31"/>
    </row>
    <row r="109" spans="1:6" ht="15.75" x14ac:dyDescent="0.25">
      <c r="A109"/>
      <c r="B109"/>
      <c r="C109" s="29" t="str">
        <f>IF(B109=0,"EMPTY",Setup!$D$11*((PI()*2*Setup!$B$22*A109*B109)/33000))</f>
        <v>EMPTY</v>
      </c>
      <c r="D109" s="30" t="str">
        <f>IF(Setup!$H$2=0,"EMPTY",IF(B109=0,"EMPTY",B109*Setup!$B$22*Setup!$G$6*Setup!$D$11))</f>
        <v>EMPTY</v>
      </c>
      <c r="E109" s="31">
        <f>IF(Setup!$H$2=0,-1,IF(A109=0,-1,A109*1/(Setup!$G$6)))</f>
        <v>-1</v>
      </c>
      <c r="F109" s="31"/>
    </row>
    <row r="110" spans="1:6" ht="15.75" x14ac:dyDescent="0.25">
      <c r="A110"/>
      <c r="B110"/>
      <c r="C110" s="29" t="str">
        <f>IF(B110=0,"EMPTY",Setup!$D$11*((PI()*2*Setup!$B$22*A110*B110)/33000))</f>
        <v>EMPTY</v>
      </c>
      <c r="D110" s="30" t="str">
        <f>IF(Setup!$H$2=0,"EMPTY",IF(B110=0,"EMPTY",B110*Setup!$B$22*Setup!$G$6*Setup!$D$11))</f>
        <v>EMPTY</v>
      </c>
      <c r="E110" s="31">
        <f>IF(Setup!$H$2=0,-1,IF(A110=0,-1,A110*1/(Setup!$G$6)))</f>
        <v>-1</v>
      </c>
      <c r="F110" s="31"/>
    </row>
    <row r="111" spans="1:6" ht="15.75" x14ac:dyDescent="0.25">
      <c r="A111"/>
      <c r="B111"/>
      <c r="C111" s="29" t="str">
        <f>IF(B111=0,"EMPTY",Setup!$D$11*((PI()*2*Setup!$B$22*A111*B111)/33000))</f>
        <v>EMPTY</v>
      </c>
      <c r="D111" s="30" t="str">
        <f>IF(Setup!$H$2=0,"EMPTY",IF(B111=0,"EMPTY",B111*Setup!$B$22*Setup!$G$6*Setup!$D$11))</f>
        <v>EMPTY</v>
      </c>
      <c r="E111" s="31">
        <f>IF(Setup!$H$2=0,-1,IF(A111=0,-1,A111*1/(Setup!$G$6)))</f>
        <v>-1</v>
      </c>
      <c r="F111" s="31"/>
    </row>
    <row r="112" spans="1:6" ht="15.75" x14ac:dyDescent="0.25">
      <c r="A112"/>
      <c r="B112"/>
      <c r="C112" s="29" t="str">
        <f>IF(B112=0,"EMPTY",Setup!$D$11*((PI()*2*Setup!$B$22*A112*B112)/33000))</f>
        <v>EMPTY</v>
      </c>
      <c r="D112" s="30" t="str">
        <f>IF(Setup!$H$2=0,"EMPTY",IF(B112=0,"EMPTY",B112*Setup!$B$22*Setup!$G$6*Setup!$D$11))</f>
        <v>EMPTY</v>
      </c>
      <c r="E112" s="31">
        <f>IF(Setup!$H$2=0,-1,IF(A112=0,-1,A112*1/(Setup!$G$6)))</f>
        <v>-1</v>
      </c>
      <c r="F112" s="31"/>
    </row>
    <row r="113" spans="1:6" ht="15.75" x14ac:dyDescent="0.25">
      <c r="A113"/>
      <c r="B113"/>
      <c r="C113" s="29" t="str">
        <f>IF(B113=0,"EMPTY",Setup!$D$11*((PI()*2*Setup!$B$22*A113*B113)/33000))</f>
        <v>EMPTY</v>
      </c>
      <c r="D113" s="30" t="str">
        <f>IF(Setup!$H$2=0,"EMPTY",IF(B113=0,"EMPTY",B113*Setup!$B$22*Setup!$G$6*Setup!$D$11))</f>
        <v>EMPTY</v>
      </c>
      <c r="E113" s="31">
        <f>IF(Setup!$H$2=0,-1,IF(A113=0,-1,A113*1/(Setup!$G$6)))</f>
        <v>-1</v>
      </c>
      <c r="F113" s="31"/>
    </row>
    <row r="114" spans="1:6" ht="15.75" x14ac:dyDescent="0.25">
      <c r="A114"/>
      <c r="B114"/>
      <c r="C114" s="29" t="str">
        <f>IF(B114=0,"EMPTY",Setup!$D$11*((PI()*2*Setup!$B$22*A114*B114)/33000))</f>
        <v>EMPTY</v>
      </c>
      <c r="D114" s="30" t="str">
        <f>IF(Setup!$H$2=0,"EMPTY",IF(B114=0,"EMPTY",B114*Setup!$B$22*Setup!$G$6*Setup!$D$11))</f>
        <v>EMPTY</v>
      </c>
      <c r="E114" s="31">
        <f>IF(Setup!$H$2=0,-1,IF(A114=0,-1,A114*1/(Setup!$G$6)))</f>
        <v>-1</v>
      </c>
      <c r="F114" s="31"/>
    </row>
    <row r="115" spans="1:6" ht="15.75" x14ac:dyDescent="0.25">
      <c r="A115"/>
      <c r="B115"/>
      <c r="C115" s="29" t="str">
        <f>IF(B115=0,"EMPTY",Setup!$D$11*((PI()*2*Setup!$B$22*A115*B115)/33000))</f>
        <v>EMPTY</v>
      </c>
      <c r="D115" s="30" t="str">
        <f>IF(Setup!$H$2=0,"EMPTY",IF(B115=0,"EMPTY",B115*Setup!$B$22*Setup!$G$6*Setup!$D$11))</f>
        <v>EMPTY</v>
      </c>
      <c r="E115" s="31">
        <f>IF(Setup!$H$2=0,-1,IF(A115=0,-1,A115*1/(Setup!$G$6)))</f>
        <v>-1</v>
      </c>
      <c r="F115" s="31"/>
    </row>
    <row r="116" spans="1:6" ht="15.75" x14ac:dyDescent="0.25">
      <c r="A116"/>
      <c r="B116"/>
      <c r="C116" s="29" t="str">
        <f>IF(B116=0,"EMPTY",Setup!$D$11*((PI()*2*Setup!$B$22*A116*B116)/33000))</f>
        <v>EMPTY</v>
      </c>
      <c r="D116" s="30" t="str">
        <f>IF(Setup!$H$2=0,"EMPTY",IF(B116=0,"EMPTY",B116*Setup!$B$22*Setup!$G$6*Setup!$D$11))</f>
        <v>EMPTY</v>
      </c>
      <c r="E116" s="31">
        <f>IF(Setup!$H$2=0,-1,IF(A116=0,-1,A116*1/(Setup!$G$6)))</f>
        <v>-1</v>
      </c>
      <c r="F116" s="31"/>
    </row>
    <row r="117" spans="1:6" ht="15.75" x14ac:dyDescent="0.25">
      <c r="A117"/>
      <c r="B117"/>
      <c r="C117" s="29" t="str">
        <f>IF(B117=0,"EMPTY",Setup!$D$11*((PI()*2*Setup!$B$22*A117*B117)/33000))</f>
        <v>EMPTY</v>
      </c>
      <c r="D117" s="30" t="str">
        <f>IF(Setup!$H$2=0,"EMPTY",IF(B117=0,"EMPTY",B117*Setup!$B$22*Setup!$G$6*Setup!$D$11))</f>
        <v>EMPTY</v>
      </c>
      <c r="E117" s="31">
        <f>IF(Setup!$H$2=0,-1,IF(A117=0,-1,A117*1/(Setup!$G$6)))</f>
        <v>-1</v>
      </c>
      <c r="F117" s="31"/>
    </row>
    <row r="118" spans="1:6" ht="15.75" x14ac:dyDescent="0.25">
      <c r="A118"/>
      <c r="B118"/>
      <c r="C118" s="29" t="str">
        <f>IF(B118=0,"EMPTY",Setup!$D$11*((PI()*2*Setup!$B$22*A118*B118)/33000))</f>
        <v>EMPTY</v>
      </c>
      <c r="D118" s="30" t="str">
        <f>IF(Setup!$H$2=0,"EMPTY",IF(B118=0,"EMPTY",B118*Setup!$B$22*Setup!$G$6*Setup!$D$11))</f>
        <v>EMPTY</v>
      </c>
      <c r="E118" s="31">
        <f>IF(Setup!$H$2=0,-1,IF(A118=0,-1,A118*1/(Setup!$G$6)))</f>
        <v>-1</v>
      </c>
      <c r="F118" s="31"/>
    </row>
    <row r="119" spans="1:6" ht="15.75" x14ac:dyDescent="0.25">
      <c r="A119"/>
      <c r="B119"/>
      <c r="C119" s="29" t="str">
        <f>IF(B119=0,"EMPTY",Setup!$D$11*((PI()*2*Setup!$B$22*A119*B119)/33000))</f>
        <v>EMPTY</v>
      </c>
      <c r="D119" s="30" t="str">
        <f>IF(Setup!$H$2=0,"EMPTY",IF(B119=0,"EMPTY",B119*Setup!$B$22*Setup!$G$6*Setup!$D$11))</f>
        <v>EMPTY</v>
      </c>
      <c r="E119" s="31">
        <f>IF(Setup!$H$2=0,-1,IF(A119=0,-1,A119*1/(Setup!$G$6)))</f>
        <v>-1</v>
      </c>
      <c r="F119" s="31"/>
    </row>
    <row r="120" spans="1:6" ht="15.75" x14ac:dyDescent="0.25">
      <c r="A120"/>
      <c r="B120"/>
      <c r="C120" s="29" t="str">
        <f>IF(B120=0,"EMPTY",Setup!$D$11*((PI()*2*Setup!$B$22*A120*B120)/33000))</f>
        <v>EMPTY</v>
      </c>
      <c r="D120" s="30" t="str">
        <f>IF(Setup!$H$2=0,"EMPTY",IF(B120=0,"EMPTY",B120*Setup!$B$22*Setup!$G$6*Setup!$D$11))</f>
        <v>EMPTY</v>
      </c>
      <c r="E120" s="31">
        <f>IF(Setup!$H$2=0,-1,IF(A120=0,-1,A120*1/(Setup!$G$6)))</f>
        <v>-1</v>
      </c>
      <c r="F120" s="31"/>
    </row>
    <row r="121" spans="1:6" ht="15.75" x14ac:dyDescent="0.25">
      <c r="A121"/>
      <c r="B121"/>
      <c r="C121" s="29" t="str">
        <f>IF(B121=0,"EMPTY",Setup!$D$11*((PI()*2*Setup!$B$22*A121*B121)/33000))</f>
        <v>EMPTY</v>
      </c>
      <c r="D121" s="30" t="str">
        <f>IF(Setup!$H$2=0,"EMPTY",IF(B121=0,"EMPTY",B121*Setup!$B$22*Setup!$G$6*Setup!$D$11))</f>
        <v>EMPTY</v>
      </c>
      <c r="E121" s="31">
        <f>IF(Setup!$H$2=0,-1,IF(A121=0,-1,A121*1/(Setup!$G$6)))</f>
        <v>-1</v>
      </c>
      <c r="F121" s="31"/>
    </row>
    <row r="122" spans="1:6" ht="15.75" x14ac:dyDescent="0.25">
      <c r="A122"/>
      <c r="B122"/>
      <c r="C122" s="29" t="str">
        <f>IF(B122=0,"EMPTY",Setup!$D$11*((PI()*2*Setup!$B$22*A122*B122)/33000))</f>
        <v>EMPTY</v>
      </c>
      <c r="D122" s="30" t="str">
        <f>IF(Setup!$H$2=0,"EMPTY",IF(B122=0,"EMPTY",B122*Setup!$B$22*Setup!$G$6*Setup!$D$11))</f>
        <v>EMPTY</v>
      </c>
      <c r="E122" s="31">
        <f>IF(Setup!$H$2=0,-1,IF(A122=0,-1,A122*1/(Setup!$G$6)))</f>
        <v>-1</v>
      </c>
      <c r="F122" s="31"/>
    </row>
    <row r="123" spans="1:6" ht="15.75" x14ac:dyDescent="0.25">
      <c r="A123"/>
      <c r="B123"/>
      <c r="C123" s="29" t="str">
        <f>IF(B123=0,"EMPTY",Setup!$D$11*((PI()*2*Setup!$B$22*A123*B123)/33000))</f>
        <v>EMPTY</v>
      </c>
      <c r="D123" s="30" t="str">
        <f>IF(Setup!$H$2=0,"EMPTY",IF(B123=0,"EMPTY",B123*Setup!$B$22*Setup!$G$6*Setup!$D$11))</f>
        <v>EMPTY</v>
      </c>
      <c r="E123" s="31">
        <f>IF(Setup!$H$2=0,-1,IF(A123=0,-1,A123*1/(Setup!$G$6)))</f>
        <v>-1</v>
      </c>
      <c r="F123" s="31"/>
    </row>
    <row r="124" spans="1:6" ht="15.75" x14ac:dyDescent="0.25">
      <c r="A124"/>
      <c r="B124"/>
      <c r="C124" s="29" t="str">
        <f>IF(B124=0,"EMPTY",Setup!$D$11*((PI()*2*Setup!$B$22*A124*B124)/33000))</f>
        <v>EMPTY</v>
      </c>
      <c r="D124" s="30" t="str">
        <f>IF(Setup!$H$2=0,"EMPTY",IF(B124=0,"EMPTY",B124*Setup!$B$22*Setup!$G$6*Setup!$D$11))</f>
        <v>EMPTY</v>
      </c>
      <c r="E124" s="31">
        <f>IF(Setup!$H$2=0,-1,IF(A124=0,-1,A124*1/(Setup!$G$6)))</f>
        <v>-1</v>
      </c>
      <c r="F124" s="31"/>
    </row>
    <row r="125" spans="1:6" ht="15.75" x14ac:dyDescent="0.25">
      <c r="A125"/>
      <c r="B125"/>
      <c r="C125" s="29" t="str">
        <f>IF(B125=0,"EMPTY",Setup!$D$11*((PI()*2*Setup!$B$22*A125*B125)/33000))</f>
        <v>EMPTY</v>
      </c>
      <c r="D125" s="30" t="str">
        <f>IF(Setup!$H$2=0,"EMPTY",IF(B125=0,"EMPTY",B125*Setup!$B$22*Setup!$G$6*Setup!$D$11))</f>
        <v>EMPTY</v>
      </c>
      <c r="E125" s="31">
        <f>IF(Setup!$H$2=0,-1,IF(A125=0,-1,A125*1/(Setup!$G$6)))</f>
        <v>-1</v>
      </c>
      <c r="F125" s="31"/>
    </row>
    <row r="126" spans="1:6" ht="15.75" x14ac:dyDescent="0.25">
      <c r="A126"/>
      <c r="B126"/>
      <c r="C126" s="29" t="str">
        <f>IF(B126=0,"EMPTY",Setup!$D$11*((PI()*2*Setup!$B$22*A126*B126)/33000))</f>
        <v>EMPTY</v>
      </c>
      <c r="D126" s="30" t="str">
        <f>IF(Setup!$H$2=0,"EMPTY",IF(B126=0,"EMPTY",B126*Setup!$B$22*Setup!$G$6*Setup!$D$11))</f>
        <v>EMPTY</v>
      </c>
      <c r="E126" s="31">
        <f>IF(Setup!$H$2=0,-1,IF(A126=0,-1,A126*1/(Setup!$G$6)))</f>
        <v>-1</v>
      </c>
      <c r="F126" s="31"/>
    </row>
    <row r="127" spans="1:6" ht="15.75" x14ac:dyDescent="0.25">
      <c r="A127"/>
      <c r="B127"/>
      <c r="C127" s="29" t="str">
        <f>IF(B127=0,"EMPTY",Setup!$D$11*((PI()*2*Setup!$B$22*A127*B127)/33000))</f>
        <v>EMPTY</v>
      </c>
      <c r="D127" s="30" t="str">
        <f>IF(Setup!$H$2=0,"EMPTY",IF(B127=0,"EMPTY",B127*Setup!$B$22*Setup!$G$6*Setup!$D$11))</f>
        <v>EMPTY</v>
      </c>
      <c r="E127" s="31">
        <f>IF(Setup!$H$2=0,-1,IF(A127=0,-1,A127*1/(Setup!$G$6)))</f>
        <v>-1</v>
      </c>
      <c r="F127" s="31"/>
    </row>
    <row r="128" spans="1:6" ht="15.75" x14ac:dyDescent="0.25">
      <c r="A128"/>
      <c r="B128"/>
      <c r="C128" s="29" t="str">
        <f>IF(B128=0,"EMPTY",Setup!$D$11*((PI()*2*Setup!$B$22*A128*B128)/33000))</f>
        <v>EMPTY</v>
      </c>
      <c r="D128" s="30" t="str">
        <f>IF(Setup!$H$2=0,"EMPTY",IF(B128=0,"EMPTY",B128*Setup!$B$22*Setup!$G$6*Setup!$D$11))</f>
        <v>EMPTY</v>
      </c>
      <c r="E128" s="31">
        <f>IF(Setup!$H$2=0,-1,IF(A128=0,-1,A128*1/(Setup!$G$6)))</f>
        <v>-1</v>
      </c>
      <c r="F128" s="31"/>
    </row>
    <row r="129" spans="1:6" ht="15.75" x14ac:dyDescent="0.25">
      <c r="A129"/>
      <c r="B129"/>
      <c r="C129" s="29" t="str">
        <f>IF(B129=0,"EMPTY",Setup!$D$11*((PI()*2*Setup!$B$22*A129*B129)/33000))</f>
        <v>EMPTY</v>
      </c>
      <c r="D129" s="30" t="str">
        <f>IF(Setup!$H$2=0,"EMPTY",IF(B129=0,"EMPTY",B129*Setup!$B$22*Setup!$G$6*Setup!$D$11))</f>
        <v>EMPTY</v>
      </c>
      <c r="E129" s="31">
        <f>IF(Setup!$H$2=0,-1,IF(A129=0,-1,A129*1/(Setup!$G$6)))</f>
        <v>-1</v>
      </c>
      <c r="F129" s="31"/>
    </row>
    <row r="130" spans="1:6" ht="15.75" x14ac:dyDescent="0.25">
      <c r="A130"/>
      <c r="B130"/>
      <c r="C130" s="29" t="str">
        <f>IF(B130=0,"EMPTY",Setup!$D$11*((PI()*2*Setup!$B$22*A130*B130)/33000))</f>
        <v>EMPTY</v>
      </c>
      <c r="D130" s="30" t="str">
        <f>IF(Setup!$H$2=0,"EMPTY",IF(B130=0,"EMPTY",B130*Setup!$B$22*Setup!$G$6*Setup!$D$11))</f>
        <v>EMPTY</v>
      </c>
      <c r="E130" s="31">
        <f>IF(Setup!$H$2=0,-1,IF(A130=0,-1,A130*1/(Setup!$G$6)))</f>
        <v>-1</v>
      </c>
      <c r="F130" s="31"/>
    </row>
    <row r="131" spans="1:6" ht="15.75" x14ac:dyDescent="0.25">
      <c r="A131"/>
      <c r="B131"/>
      <c r="C131" s="29" t="str">
        <f>IF(B131=0,"EMPTY",Setup!$D$11*((PI()*2*Setup!$B$22*A131*B131)/33000))</f>
        <v>EMPTY</v>
      </c>
      <c r="D131" s="30" t="str">
        <f>IF(Setup!$H$2=0,"EMPTY",IF(B131=0,"EMPTY",B131*Setup!$B$22*Setup!$G$6*Setup!$D$11))</f>
        <v>EMPTY</v>
      </c>
      <c r="E131" s="31">
        <f>IF(Setup!$H$2=0,-1,IF(A131=0,-1,A131*1/(Setup!$G$6)))</f>
        <v>-1</v>
      </c>
      <c r="F131" s="31"/>
    </row>
    <row r="132" spans="1:6" ht="15.75" x14ac:dyDescent="0.25">
      <c r="A132"/>
      <c r="B132"/>
      <c r="C132" s="29" t="str">
        <f>IF(B132=0,"EMPTY",Setup!$D$11*((PI()*2*Setup!$B$22*A132*B132)/33000))</f>
        <v>EMPTY</v>
      </c>
      <c r="D132" s="30" t="str">
        <f>IF(Setup!$H$2=0,"EMPTY",IF(B132=0,"EMPTY",B132*Setup!$B$22*Setup!$G$6*Setup!$D$11))</f>
        <v>EMPTY</v>
      </c>
      <c r="E132" s="31">
        <f>IF(Setup!$H$2=0,-1,IF(A132=0,-1,A132*1/(Setup!$G$6)))</f>
        <v>-1</v>
      </c>
      <c r="F132" s="31"/>
    </row>
    <row r="133" spans="1:6" ht="15.75" x14ac:dyDescent="0.25">
      <c r="A133"/>
      <c r="B133"/>
      <c r="C133" s="29" t="str">
        <f>IF(B133=0,"EMPTY",Setup!$D$11*((PI()*2*Setup!$B$22*A133*B133)/33000))</f>
        <v>EMPTY</v>
      </c>
      <c r="D133" s="30" t="str">
        <f>IF(Setup!$H$2=0,"EMPTY",IF(B133=0,"EMPTY",B133*Setup!$B$22*Setup!$G$6*Setup!$D$11))</f>
        <v>EMPTY</v>
      </c>
      <c r="E133" s="31">
        <f>IF(Setup!$H$2=0,-1,IF(A133=0,-1,A133*1/(Setup!$G$6)))</f>
        <v>-1</v>
      </c>
      <c r="F133" s="31"/>
    </row>
    <row r="134" spans="1:6" ht="15.75" x14ac:dyDescent="0.25">
      <c r="A134"/>
      <c r="B134"/>
      <c r="C134" s="29" t="str">
        <f>IF(B134=0,"EMPTY",Setup!$D$11*((PI()*2*Setup!$B$22*A134*B134)/33000))</f>
        <v>EMPTY</v>
      </c>
      <c r="D134" s="30" t="str">
        <f>IF(Setup!$H$2=0,"EMPTY",IF(B134=0,"EMPTY",B134*Setup!$B$22*Setup!$G$6*Setup!$D$11))</f>
        <v>EMPTY</v>
      </c>
      <c r="E134" s="31">
        <f>IF(Setup!$H$2=0,-1,IF(A134=0,-1,A134*1/(Setup!$G$6)))</f>
        <v>-1</v>
      </c>
      <c r="F134" s="31"/>
    </row>
    <row r="135" spans="1:6" ht="15.75" x14ac:dyDescent="0.25">
      <c r="A135"/>
      <c r="B135"/>
      <c r="C135" s="29" t="str">
        <f>IF(B135=0,"EMPTY",Setup!$D$11*((PI()*2*Setup!$B$22*A135*B135)/33000))</f>
        <v>EMPTY</v>
      </c>
      <c r="D135" s="30" t="str">
        <f>IF(Setup!$H$2=0,"EMPTY",IF(B135=0,"EMPTY",B135*Setup!$B$22*Setup!$G$6*Setup!$D$11))</f>
        <v>EMPTY</v>
      </c>
      <c r="E135" s="31">
        <f>IF(Setup!$H$2=0,-1,IF(A135=0,-1,A135*1/(Setup!$G$6)))</f>
        <v>-1</v>
      </c>
      <c r="F135" s="31"/>
    </row>
    <row r="136" spans="1:6" ht="15.75" x14ac:dyDescent="0.25">
      <c r="A136"/>
      <c r="B136"/>
      <c r="C136" s="29" t="str">
        <f>IF(B136=0,"EMPTY",Setup!$D$11*((PI()*2*Setup!$B$22*A136*B136)/33000))</f>
        <v>EMPTY</v>
      </c>
      <c r="D136" s="30" t="str">
        <f>IF(Setup!$H$2=0,"EMPTY",IF(B136=0,"EMPTY",B136*Setup!$B$22*Setup!$G$6*Setup!$D$11))</f>
        <v>EMPTY</v>
      </c>
      <c r="E136" s="31">
        <f>IF(Setup!$H$2=0,-1,IF(A136=0,-1,A136*1/(Setup!$G$6)))</f>
        <v>-1</v>
      </c>
      <c r="F136" s="31"/>
    </row>
    <row r="137" spans="1:6" ht="15.75" x14ac:dyDescent="0.25">
      <c r="A137"/>
      <c r="B137"/>
      <c r="C137" s="29" t="str">
        <f>IF(B137=0,"EMPTY",Setup!$D$11*((PI()*2*Setup!$B$22*A137*B137)/33000))</f>
        <v>EMPTY</v>
      </c>
      <c r="D137" s="30" t="str">
        <f>IF(Setup!$H$2=0,"EMPTY",IF(B137=0,"EMPTY",B137*Setup!$B$22*Setup!$G$6*Setup!$D$11))</f>
        <v>EMPTY</v>
      </c>
      <c r="E137" s="31">
        <f>IF(Setup!$H$2=0,-1,IF(A137=0,-1,A137*1/(Setup!$G$6)))</f>
        <v>-1</v>
      </c>
      <c r="F137" s="31"/>
    </row>
    <row r="138" spans="1:6" ht="15.75" x14ac:dyDescent="0.25">
      <c r="A138"/>
      <c r="B138"/>
      <c r="C138" s="29" t="str">
        <f>IF(B138=0,"EMPTY",Setup!$D$11*((PI()*2*Setup!$B$22*A138*B138)/33000))</f>
        <v>EMPTY</v>
      </c>
      <c r="D138" s="30" t="str">
        <f>IF(Setup!$H$2=0,"EMPTY",IF(B138=0,"EMPTY",B138*Setup!$B$22*Setup!$G$6*Setup!$D$11))</f>
        <v>EMPTY</v>
      </c>
      <c r="E138" s="31">
        <f>IF(Setup!$H$2=0,-1,IF(A138=0,-1,A138*1/(Setup!$G$6)))</f>
        <v>-1</v>
      </c>
      <c r="F138" s="31"/>
    </row>
    <row r="139" spans="1:6" ht="15.75" x14ac:dyDescent="0.25">
      <c r="A139"/>
      <c r="B139"/>
      <c r="C139" s="29" t="str">
        <f>IF(B139=0,"EMPTY",Setup!$D$11*((PI()*2*Setup!$B$22*A139*B139)/33000))</f>
        <v>EMPTY</v>
      </c>
      <c r="D139" s="30" t="str">
        <f>IF(Setup!$H$2=0,"EMPTY",IF(B139=0,"EMPTY",B139*Setup!$B$22*Setup!$G$6*Setup!$D$11))</f>
        <v>EMPTY</v>
      </c>
      <c r="E139" s="31">
        <f>IF(Setup!$H$2=0,-1,IF(A139=0,-1,A139*1/(Setup!$G$6)))</f>
        <v>-1</v>
      </c>
      <c r="F139" s="31"/>
    </row>
    <row r="140" spans="1:6" ht="15.75" x14ac:dyDescent="0.25">
      <c r="A140"/>
      <c r="B140"/>
      <c r="C140" s="29" t="str">
        <f>IF(B140=0,"EMPTY",Setup!$D$11*((PI()*2*Setup!$B$22*A140*B140)/33000))</f>
        <v>EMPTY</v>
      </c>
      <c r="D140" s="30" t="str">
        <f>IF(Setup!$H$2=0,"EMPTY",IF(B140=0,"EMPTY",B140*Setup!$B$22*Setup!$G$6*Setup!$D$11))</f>
        <v>EMPTY</v>
      </c>
      <c r="E140" s="31">
        <f>IF(Setup!$H$2=0,-1,IF(A140=0,-1,A140*1/(Setup!$G$6)))</f>
        <v>-1</v>
      </c>
      <c r="F140" s="31"/>
    </row>
    <row r="141" spans="1:6" ht="15.75" x14ac:dyDescent="0.25">
      <c r="A141"/>
      <c r="B141"/>
      <c r="C141" s="29" t="str">
        <f>IF(B141=0,"EMPTY",Setup!$D$11*((PI()*2*Setup!$B$22*A141*B141)/33000))</f>
        <v>EMPTY</v>
      </c>
      <c r="D141" s="30" t="str">
        <f>IF(Setup!$H$2=0,"EMPTY",IF(B141=0,"EMPTY",B141*Setup!$B$22*Setup!$G$6*Setup!$D$11))</f>
        <v>EMPTY</v>
      </c>
      <c r="E141" s="31">
        <f>IF(Setup!$H$2=0,-1,IF(A141=0,-1,A141*1/(Setup!$G$6)))</f>
        <v>-1</v>
      </c>
      <c r="F141" s="31"/>
    </row>
    <row r="142" spans="1:6" ht="15.75" x14ac:dyDescent="0.25">
      <c r="A142"/>
      <c r="B142"/>
      <c r="C142" s="29" t="str">
        <f>IF(B142=0,"EMPTY",Setup!$D$11*((PI()*2*Setup!$B$22*A142*B142)/33000))</f>
        <v>EMPTY</v>
      </c>
      <c r="D142" s="30" t="str">
        <f>IF(Setup!$H$2=0,"EMPTY",IF(B142=0,"EMPTY",B142*Setup!$B$22*Setup!$G$6*Setup!$D$11))</f>
        <v>EMPTY</v>
      </c>
      <c r="E142" s="31">
        <f>IF(Setup!$H$2=0,-1,IF(A142=0,-1,A142*1/(Setup!$G$6)))</f>
        <v>-1</v>
      </c>
      <c r="F142" s="31"/>
    </row>
    <row r="143" spans="1:6" ht="15.75" x14ac:dyDescent="0.25">
      <c r="A143"/>
      <c r="B143"/>
      <c r="C143" s="29" t="str">
        <f>IF(B143=0,"EMPTY",Setup!$D$11*((PI()*2*Setup!$B$22*A143*B143)/33000))</f>
        <v>EMPTY</v>
      </c>
      <c r="D143" s="30" t="str">
        <f>IF(Setup!$H$2=0,"EMPTY",IF(B143=0,"EMPTY",B143*Setup!$B$22*Setup!$G$6*Setup!$D$11))</f>
        <v>EMPTY</v>
      </c>
      <c r="E143" s="31">
        <f>IF(Setup!$H$2=0,-1,IF(A143=0,-1,A143*1/(Setup!$G$6)))</f>
        <v>-1</v>
      </c>
      <c r="F143" s="31"/>
    </row>
    <row r="144" spans="1:6" ht="15.75" x14ac:dyDescent="0.25">
      <c r="A144"/>
      <c r="B144"/>
      <c r="C144" s="29" t="str">
        <f>IF(B144=0,"EMPTY",Setup!$D$11*((PI()*2*Setup!$B$22*A144*B144)/33000))</f>
        <v>EMPTY</v>
      </c>
      <c r="D144" s="30" t="str">
        <f>IF(Setup!$H$2=0,"EMPTY",IF(B144=0,"EMPTY",B144*Setup!$B$22*Setup!$G$6*Setup!$D$11))</f>
        <v>EMPTY</v>
      </c>
      <c r="E144" s="31">
        <f>IF(Setup!$H$2=0,-1,IF(A144=0,-1,A144*1/(Setup!$G$6)))</f>
        <v>-1</v>
      </c>
      <c r="F144" s="31"/>
    </row>
    <row r="145" spans="1:6" ht="15.75" x14ac:dyDescent="0.25">
      <c r="A145"/>
      <c r="B145"/>
      <c r="C145" s="29" t="str">
        <f>IF(B145=0,"EMPTY",Setup!$D$11*((PI()*2*Setup!$B$22*A145*B145)/33000))</f>
        <v>EMPTY</v>
      </c>
      <c r="D145" s="30" t="str">
        <f>IF(Setup!$H$2=0,"EMPTY",IF(B145=0,"EMPTY",B145*Setup!$B$22*Setup!$G$6*Setup!$D$11))</f>
        <v>EMPTY</v>
      </c>
      <c r="E145" s="31">
        <f>IF(Setup!$H$2=0,-1,IF(A145=0,-1,A145*1/(Setup!$G$6)))</f>
        <v>-1</v>
      </c>
      <c r="F145" s="31"/>
    </row>
    <row r="146" spans="1:6" ht="15.75" x14ac:dyDescent="0.25">
      <c r="A146"/>
      <c r="B146"/>
      <c r="C146" s="29" t="str">
        <f>IF(B146=0,"EMPTY",Setup!$D$11*((PI()*2*Setup!$B$22*A146*B146)/33000))</f>
        <v>EMPTY</v>
      </c>
      <c r="D146" s="30" t="str">
        <f>IF(Setup!$H$2=0,"EMPTY",IF(B146=0,"EMPTY",B146*Setup!$B$22*Setup!$G$6*Setup!$D$11))</f>
        <v>EMPTY</v>
      </c>
      <c r="E146" s="31">
        <f>IF(Setup!$H$2=0,-1,IF(A146=0,-1,A146*1/(Setup!$G$6)))</f>
        <v>-1</v>
      </c>
      <c r="F146" s="31"/>
    </row>
    <row r="147" spans="1:6" ht="15.75" x14ac:dyDescent="0.25">
      <c r="A147"/>
      <c r="B147"/>
      <c r="C147" s="29" t="str">
        <f>IF(B147=0,"EMPTY",Setup!$D$11*((PI()*2*Setup!$B$22*A147*B147)/33000))</f>
        <v>EMPTY</v>
      </c>
      <c r="D147" s="30" t="str">
        <f>IF(Setup!$H$2=0,"EMPTY",IF(B147=0,"EMPTY",B147*Setup!$B$22*Setup!$G$6*Setup!$D$11))</f>
        <v>EMPTY</v>
      </c>
      <c r="E147" s="31">
        <f>IF(Setup!$H$2=0,-1,IF(A147=0,-1,A147*1/(Setup!$G$6)))</f>
        <v>-1</v>
      </c>
      <c r="F147" s="31"/>
    </row>
    <row r="148" spans="1:6" ht="15.75" x14ac:dyDescent="0.25">
      <c r="A148"/>
      <c r="B148"/>
      <c r="C148" s="29" t="str">
        <f>IF(B148=0,"EMPTY",Setup!$D$11*((PI()*2*Setup!$B$22*A148*B148)/33000))</f>
        <v>EMPTY</v>
      </c>
      <c r="D148" s="30" t="str">
        <f>IF(Setup!$H$2=0,"EMPTY",IF(B148=0,"EMPTY",B148*Setup!$B$22*Setup!$G$6*Setup!$D$11))</f>
        <v>EMPTY</v>
      </c>
      <c r="E148" s="31">
        <f>IF(Setup!$H$2=0,-1,IF(A148=0,-1,A148*1/(Setup!$G$6)))</f>
        <v>-1</v>
      </c>
      <c r="F148" s="31"/>
    </row>
    <row r="149" spans="1:6" ht="15.75" x14ac:dyDescent="0.25">
      <c r="A149"/>
      <c r="B149"/>
      <c r="C149" s="29" t="str">
        <f>IF(B149=0,"EMPTY",Setup!$D$11*((PI()*2*Setup!$B$22*A149*B149)/33000))</f>
        <v>EMPTY</v>
      </c>
      <c r="D149" s="30" t="str">
        <f>IF(Setup!$H$2=0,"EMPTY",IF(B149=0,"EMPTY",B149*Setup!$B$22*Setup!$G$6*Setup!$D$11))</f>
        <v>EMPTY</v>
      </c>
      <c r="E149" s="31">
        <f>IF(Setup!$H$2=0,-1,IF(A149=0,-1,A149*1/(Setup!$G$6)))</f>
        <v>-1</v>
      </c>
      <c r="F149" s="31"/>
    </row>
    <row r="150" spans="1:6" ht="15.75" x14ac:dyDescent="0.25">
      <c r="A150"/>
      <c r="B150"/>
      <c r="C150" s="29" t="str">
        <f>IF(B150=0,"EMPTY",Setup!$D$11*((PI()*2*Setup!$B$22*A150*B150)/33000))</f>
        <v>EMPTY</v>
      </c>
      <c r="D150" s="30" t="str">
        <f>IF(Setup!$H$2=0,"EMPTY",IF(B150=0,"EMPTY",B150*Setup!$B$22*Setup!$G$6*Setup!$D$11))</f>
        <v>EMPTY</v>
      </c>
      <c r="E150" s="31">
        <f>IF(Setup!$H$2=0,-1,IF(A150=0,-1,A150*1/(Setup!$G$6)))</f>
        <v>-1</v>
      </c>
      <c r="F150" s="31"/>
    </row>
    <row r="151" spans="1:6" ht="15.75" x14ac:dyDescent="0.25">
      <c r="A151"/>
      <c r="B151"/>
      <c r="C151" s="29" t="str">
        <f>IF(B151=0,"EMPTY",Setup!$D$11*((PI()*2*Setup!$B$22*A151*B151)/33000))</f>
        <v>EMPTY</v>
      </c>
      <c r="D151" s="30" t="str">
        <f>IF(Setup!$H$2=0,"EMPTY",IF(B151=0,"EMPTY",B151*Setup!$B$22*Setup!$G$6*Setup!$D$11))</f>
        <v>EMPTY</v>
      </c>
      <c r="E151" s="31">
        <f>IF(Setup!$H$2=0,-1,IF(A151=0,-1,A151*1/(Setup!$G$6)))</f>
        <v>-1</v>
      </c>
      <c r="F151" s="31"/>
    </row>
    <row r="152" spans="1:6" ht="15.75" x14ac:dyDescent="0.25">
      <c r="A152"/>
      <c r="B152"/>
      <c r="C152" s="29" t="str">
        <f>IF(B152=0,"EMPTY",Setup!$D$11*((PI()*2*Setup!$B$22*A152*B152)/33000))</f>
        <v>EMPTY</v>
      </c>
      <c r="D152" s="30" t="str">
        <f>IF(Setup!$H$2=0,"EMPTY",IF(B152=0,"EMPTY",B152*Setup!$B$22*Setup!$G$6*Setup!$D$11))</f>
        <v>EMPTY</v>
      </c>
      <c r="E152" s="31">
        <f>IF(Setup!$H$2=0,-1,IF(A152=0,-1,A152*1/(Setup!$G$6)))</f>
        <v>-1</v>
      </c>
      <c r="F152" s="31"/>
    </row>
    <row r="153" spans="1:6" ht="15.75" x14ac:dyDescent="0.25">
      <c r="A153"/>
      <c r="B153"/>
      <c r="C153" s="29" t="str">
        <f>IF(B153=0,"EMPTY",Setup!$D$11*((PI()*2*Setup!$B$22*A153*B153)/33000))</f>
        <v>EMPTY</v>
      </c>
      <c r="D153" s="30" t="str">
        <f>IF(Setup!$H$2=0,"EMPTY",IF(B153=0,"EMPTY",B153*Setup!$B$22*Setup!$G$6*Setup!$D$11))</f>
        <v>EMPTY</v>
      </c>
      <c r="E153" s="31">
        <f>IF(Setup!$H$2=0,-1,IF(A153=0,-1,A153*1/(Setup!$G$6)))</f>
        <v>-1</v>
      </c>
      <c r="F153" s="31"/>
    </row>
    <row r="154" spans="1:6" ht="15.75" x14ac:dyDescent="0.25">
      <c r="A154"/>
      <c r="B154"/>
      <c r="C154" s="29" t="str">
        <f>IF(B154=0,"EMPTY",Setup!$D$11*((PI()*2*Setup!$B$22*A154*B154)/33000))</f>
        <v>EMPTY</v>
      </c>
      <c r="D154" s="30" t="str">
        <f>IF(Setup!$H$2=0,"EMPTY",IF(B154=0,"EMPTY",B154*Setup!$B$22*Setup!$G$6*Setup!$D$11))</f>
        <v>EMPTY</v>
      </c>
      <c r="E154" s="31">
        <f>IF(Setup!$H$2=0,-1,IF(A154=0,-1,A154*1/(Setup!$G$6)))</f>
        <v>-1</v>
      </c>
      <c r="F154" s="31"/>
    </row>
    <row r="155" spans="1:6" ht="15.75" x14ac:dyDescent="0.25">
      <c r="A155"/>
      <c r="B155"/>
      <c r="C155" s="29" t="str">
        <f>IF(B155=0,"EMPTY",Setup!$D$11*((PI()*2*Setup!$B$22*A155*B155)/33000))</f>
        <v>EMPTY</v>
      </c>
      <c r="D155" s="30" t="str">
        <f>IF(Setup!$H$2=0,"EMPTY",IF(B155=0,"EMPTY",B155*Setup!$B$22*Setup!$G$6*Setup!$D$11))</f>
        <v>EMPTY</v>
      </c>
      <c r="E155" s="31">
        <f>IF(Setup!$H$2=0,-1,IF(A155=0,-1,A155*1/(Setup!$G$6)))</f>
        <v>-1</v>
      </c>
      <c r="F155" s="31"/>
    </row>
    <row r="156" spans="1:6" ht="15.75" x14ac:dyDescent="0.25">
      <c r="A156"/>
      <c r="B156"/>
      <c r="C156" s="29" t="str">
        <f>IF(B156=0,"EMPTY",Setup!$D$11*((PI()*2*Setup!$B$22*A156*B156)/33000))</f>
        <v>EMPTY</v>
      </c>
      <c r="D156" s="30" t="str">
        <f>IF(Setup!$H$2=0,"EMPTY",IF(B156=0,"EMPTY",B156*Setup!$B$22*Setup!$G$6*Setup!$D$11))</f>
        <v>EMPTY</v>
      </c>
      <c r="E156" s="31">
        <f>IF(Setup!$H$2=0,-1,IF(A156=0,-1,A156*1/(Setup!$G$6)))</f>
        <v>-1</v>
      </c>
      <c r="F156" s="31"/>
    </row>
    <row r="157" spans="1:6" ht="15.75" x14ac:dyDescent="0.25">
      <c r="A157"/>
      <c r="B157"/>
      <c r="C157" s="29" t="str">
        <f>IF(B157=0,"EMPTY",Setup!$D$11*((PI()*2*Setup!$B$22*A157*B157)/33000))</f>
        <v>EMPTY</v>
      </c>
      <c r="D157" s="30" t="str">
        <f>IF(Setup!$H$2=0,"EMPTY",IF(B157=0,"EMPTY",B157*Setup!$B$22*Setup!$G$6*Setup!$D$11))</f>
        <v>EMPTY</v>
      </c>
      <c r="E157" s="31">
        <f>IF(Setup!$H$2=0,-1,IF(A157=0,-1,A157*1/(Setup!$G$6)))</f>
        <v>-1</v>
      </c>
      <c r="F157" s="31"/>
    </row>
    <row r="158" spans="1:6" ht="15.75" x14ac:dyDescent="0.25">
      <c r="A158"/>
      <c r="B158"/>
      <c r="C158" s="29" t="str">
        <f>IF(B158=0,"EMPTY",Setup!$D$11*((PI()*2*Setup!$B$22*A158*B158)/33000))</f>
        <v>EMPTY</v>
      </c>
      <c r="D158" s="30" t="str">
        <f>IF(Setup!$H$2=0,"EMPTY",IF(B158=0,"EMPTY",B158*Setup!$B$22*Setup!$G$6*Setup!$D$11))</f>
        <v>EMPTY</v>
      </c>
      <c r="E158" s="31">
        <f>IF(Setup!$H$2=0,-1,IF(A158=0,-1,A158*1/(Setup!$G$6)))</f>
        <v>-1</v>
      </c>
      <c r="F158" s="31"/>
    </row>
    <row r="159" spans="1:6" ht="15.75" x14ac:dyDescent="0.25">
      <c r="A159"/>
      <c r="B159"/>
      <c r="C159" s="29" t="str">
        <f>IF(B159=0,"EMPTY",Setup!$D$11*((PI()*2*Setup!$B$22*A159*B159)/33000))</f>
        <v>EMPTY</v>
      </c>
      <c r="D159" s="30" t="str">
        <f>IF(Setup!$H$2=0,"EMPTY",IF(B159=0,"EMPTY",B159*Setup!$B$22*Setup!$G$6*Setup!$D$11))</f>
        <v>EMPTY</v>
      </c>
      <c r="E159" s="31">
        <f>IF(Setup!$H$2=0,-1,IF(A159=0,-1,A159*1/(Setup!$G$6)))</f>
        <v>-1</v>
      </c>
      <c r="F159" s="31"/>
    </row>
    <row r="160" spans="1:6" ht="15.75" x14ac:dyDescent="0.25">
      <c r="A160"/>
      <c r="B160"/>
      <c r="C160" s="29" t="str">
        <f>IF(B160=0,"EMPTY",Setup!$D$11*((PI()*2*Setup!$B$22*A160*B160)/33000))</f>
        <v>EMPTY</v>
      </c>
      <c r="D160" s="30" t="str">
        <f>IF(Setup!$H$2=0,"EMPTY",IF(B160=0,"EMPTY",B160*Setup!$B$22*Setup!$G$6*Setup!$D$11))</f>
        <v>EMPTY</v>
      </c>
      <c r="E160" s="31">
        <f>IF(Setup!$H$2=0,-1,IF(A160=0,-1,A160*1/(Setup!$G$6)))</f>
        <v>-1</v>
      </c>
      <c r="F160" s="31"/>
    </row>
    <row r="161" spans="1:6" ht="15.75" x14ac:dyDescent="0.25">
      <c r="A161"/>
      <c r="B161"/>
      <c r="C161" s="29" t="str">
        <f>IF(B161=0,"EMPTY",Setup!$D$11*((PI()*2*Setup!$B$22*A161*B161)/33000))</f>
        <v>EMPTY</v>
      </c>
      <c r="D161" s="30" t="str">
        <f>IF(Setup!$H$2=0,"EMPTY",IF(B161=0,"EMPTY",B161*Setup!$B$22*Setup!$G$6*Setup!$D$11))</f>
        <v>EMPTY</v>
      </c>
      <c r="E161" s="31">
        <f>IF(Setup!$H$2=0,-1,IF(A161=0,-1,A161*1/(Setup!$G$6)))</f>
        <v>-1</v>
      </c>
      <c r="F161" s="31"/>
    </row>
    <row r="162" spans="1:6" ht="15.75" x14ac:dyDescent="0.25">
      <c r="A162"/>
      <c r="B162"/>
      <c r="C162" s="29" t="str">
        <f>IF(B162=0,"EMPTY",Setup!$D$11*((PI()*2*Setup!$B$22*A162*B162)/33000))</f>
        <v>EMPTY</v>
      </c>
      <c r="D162" s="30" t="str">
        <f>IF(Setup!$H$2=0,"EMPTY",IF(B162=0,"EMPTY",B162*Setup!$B$22*Setup!$G$6*Setup!$D$11))</f>
        <v>EMPTY</v>
      </c>
      <c r="E162" s="31">
        <f>IF(Setup!$H$2=0,-1,IF(A162=0,-1,A162*1/(Setup!$G$6)))</f>
        <v>-1</v>
      </c>
      <c r="F162" s="31"/>
    </row>
    <row r="163" spans="1:6" ht="15.75" x14ac:dyDescent="0.25">
      <c r="A163"/>
      <c r="B163"/>
      <c r="C163" s="29" t="str">
        <f>IF(B163=0,"EMPTY",Setup!$D$11*((PI()*2*Setup!$B$22*A163*B163)/33000))</f>
        <v>EMPTY</v>
      </c>
      <c r="D163" s="30" t="str">
        <f>IF(Setup!$H$2=0,"EMPTY",IF(B163=0,"EMPTY",B163*Setup!$B$22*Setup!$G$6*Setup!$D$11))</f>
        <v>EMPTY</v>
      </c>
      <c r="E163" s="31">
        <f>IF(Setup!$H$2=0,-1,IF(A163=0,-1,A163*1/(Setup!$G$6)))</f>
        <v>-1</v>
      </c>
      <c r="F163" s="31"/>
    </row>
    <row r="164" spans="1:6" ht="15.75" x14ac:dyDescent="0.25">
      <c r="A164"/>
      <c r="B164"/>
      <c r="C164" s="29" t="str">
        <f>IF(B164=0,"EMPTY",Setup!$D$11*((PI()*2*Setup!$B$22*A164*B164)/33000))</f>
        <v>EMPTY</v>
      </c>
      <c r="D164" s="30" t="str">
        <f>IF(Setup!$H$2=0,"EMPTY",IF(B164=0,"EMPTY",B164*Setup!$B$22*Setup!$G$6*Setup!$D$11))</f>
        <v>EMPTY</v>
      </c>
      <c r="E164" s="31">
        <f>IF(Setup!$H$2=0,-1,IF(A164=0,-1,A164*1/(Setup!$G$6)))</f>
        <v>-1</v>
      </c>
      <c r="F164" s="31"/>
    </row>
    <row r="165" spans="1:6" ht="15.75" x14ac:dyDescent="0.25">
      <c r="A165"/>
      <c r="B165"/>
      <c r="C165" s="29" t="str">
        <f>IF(B165=0,"EMPTY",Setup!$D$11*((PI()*2*Setup!$B$22*A165*B165)/33000))</f>
        <v>EMPTY</v>
      </c>
      <c r="D165" s="30" t="str">
        <f>IF(Setup!$H$2=0,"EMPTY",IF(B165=0,"EMPTY",B165*Setup!$B$22*Setup!$G$6*Setup!$D$11))</f>
        <v>EMPTY</v>
      </c>
      <c r="E165" s="31">
        <f>IF(Setup!$H$2=0,-1,IF(A165=0,-1,A165*1/(Setup!$G$6)))</f>
        <v>-1</v>
      </c>
      <c r="F165" s="31"/>
    </row>
    <row r="166" spans="1:6" ht="15.75" x14ac:dyDescent="0.25">
      <c r="A166"/>
      <c r="B166"/>
      <c r="C166" s="29" t="str">
        <f>IF(B166=0,"EMPTY",Setup!$D$11*((PI()*2*Setup!$B$22*A166*B166)/33000))</f>
        <v>EMPTY</v>
      </c>
      <c r="D166" s="30" t="str">
        <f>IF(Setup!$H$2=0,"EMPTY",IF(B166=0,"EMPTY",B166*Setup!$B$22*Setup!$G$6*Setup!$D$11))</f>
        <v>EMPTY</v>
      </c>
      <c r="E166" s="31">
        <f>IF(Setup!$H$2=0,-1,IF(A166=0,-1,A166*1/(Setup!$G$6)))</f>
        <v>-1</v>
      </c>
      <c r="F166" s="31"/>
    </row>
    <row r="167" spans="1:6" ht="15.75" x14ac:dyDescent="0.25">
      <c r="A167"/>
      <c r="B167"/>
      <c r="C167" s="29" t="str">
        <f>IF(B167=0,"EMPTY",Setup!$D$11*((PI()*2*Setup!$B$22*A167*B167)/33000))</f>
        <v>EMPTY</v>
      </c>
      <c r="D167" s="30" t="str">
        <f>IF(Setup!$H$2=0,"EMPTY",IF(B167=0,"EMPTY",B167*Setup!$B$22*Setup!$G$6*Setup!$D$11))</f>
        <v>EMPTY</v>
      </c>
      <c r="E167" s="31">
        <f>IF(Setup!$H$2=0,-1,IF(A167=0,-1,A167*1/(Setup!$G$6)))</f>
        <v>-1</v>
      </c>
      <c r="F167" s="31"/>
    </row>
    <row r="168" spans="1:6" ht="15.75" x14ac:dyDescent="0.25">
      <c r="A168"/>
      <c r="B168"/>
      <c r="C168" s="29" t="str">
        <f>IF(B168=0,"EMPTY",Setup!$D$11*((PI()*2*Setup!$B$22*A168*B168)/33000))</f>
        <v>EMPTY</v>
      </c>
      <c r="D168" s="30" t="str">
        <f>IF(Setup!$H$2=0,"EMPTY",IF(B168=0,"EMPTY",B168*Setup!$B$22*Setup!$G$6*Setup!$D$11))</f>
        <v>EMPTY</v>
      </c>
      <c r="E168" s="31">
        <f>IF(Setup!$H$2=0,-1,IF(A168=0,-1,A168*1/(Setup!$G$6)))</f>
        <v>-1</v>
      </c>
      <c r="F168" s="31"/>
    </row>
    <row r="169" spans="1:6" ht="15.75" x14ac:dyDescent="0.25">
      <c r="A169"/>
      <c r="B169"/>
      <c r="C169" s="29" t="str">
        <f>IF(B169=0,"EMPTY",Setup!$D$11*((PI()*2*Setup!$B$22*A169*B169)/33000))</f>
        <v>EMPTY</v>
      </c>
      <c r="D169" s="30" t="str">
        <f>IF(Setup!$H$2=0,"EMPTY",IF(B169=0,"EMPTY",B169*Setup!$B$22*Setup!$G$6*Setup!$D$11))</f>
        <v>EMPTY</v>
      </c>
      <c r="E169" s="31">
        <f>IF(Setup!$H$2=0,-1,IF(A169=0,-1,A169*1/(Setup!$G$6)))</f>
        <v>-1</v>
      </c>
      <c r="F169" s="31"/>
    </row>
    <row r="170" spans="1:6" ht="15.75" x14ac:dyDescent="0.25">
      <c r="A170"/>
      <c r="B170"/>
      <c r="C170" s="29" t="str">
        <f>IF(B170=0,"EMPTY",Setup!$D$11*((PI()*2*Setup!$B$22*A170*B170)/33000))</f>
        <v>EMPTY</v>
      </c>
      <c r="D170" s="30" t="str">
        <f>IF(Setup!$H$2=0,"EMPTY",IF(B170=0,"EMPTY",B170*Setup!$B$22*Setup!$G$6*Setup!$D$11))</f>
        <v>EMPTY</v>
      </c>
      <c r="E170" s="31">
        <f>IF(Setup!$H$2=0,-1,IF(A170=0,-1,A170*1/(Setup!$G$6)))</f>
        <v>-1</v>
      </c>
      <c r="F170" s="31"/>
    </row>
    <row r="171" spans="1:6" ht="15.75" x14ac:dyDescent="0.25">
      <c r="A171"/>
      <c r="B171"/>
      <c r="C171" s="29" t="str">
        <f>IF(B171=0,"EMPTY",Setup!$D$11*((PI()*2*Setup!$B$22*A171*B171)/33000))</f>
        <v>EMPTY</v>
      </c>
      <c r="D171" s="30" t="str">
        <f>IF(Setup!$H$2=0,"EMPTY",IF(B171=0,"EMPTY",B171*Setup!$B$22*Setup!$G$6*Setup!$D$11))</f>
        <v>EMPTY</v>
      </c>
      <c r="E171" s="31">
        <f>IF(Setup!$H$2=0,-1,IF(A171=0,-1,A171*1/(Setup!$G$6)))</f>
        <v>-1</v>
      </c>
      <c r="F171" s="31"/>
    </row>
    <row r="172" spans="1:6" ht="15.75" x14ac:dyDescent="0.25">
      <c r="A172"/>
      <c r="B172"/>
      <c r="C172" s="29" t="str">
        <f>IF(B172=0,"EMPTY",Setup!$D$11*((PI()*2*Setup!$B$22*A172*B172)/33000))</f>
        <v>EMPTY</v>
      </c>
      <c r="D172" s="30" t="str">
        <f>IF(Setup!$H$2=0,"EMPTY",IF(B172=0,"EMPTY",B172*Setup!$B$22*Setup!$G$6*Setup!$D$11))</f>
        <v>EMPTY</v>
      </c>
      <c r="E172" s="31">
        <f>IF(Setup!$H$2=0,-1,IF(A172=0,-1,A172*1/(Setup!$G$6)))</f>
        <v>-1</v>
      </c>
      <c r="F172" s="31"/>
    </row>
    <row r="173" spans="1:6" ht="15.75" x14ac:dyDescent="0.25">
      <c r="A173"/>
      <c r="B173"/>
      <c r="C173" s="29" t="str">
        <f>IF(B173=0,"EMPTY",Setup!$D$11*((PI()*2*Setup!$B$22*A173*B173)/33000))</f>
        <v>EMPTY</v>
      </c>
      <c r="D173" s="30" t="str">
        <f>IF(Setup!$H$2=0,"EMPTY",IF(B173=0,"EMPTY",B173*Setup!$B$22*Setup!$G$6*Setup!$D$11))</f>
        <v>EMPTY</v>
      </c>
      <c r="E173" s="31">
        <f>IF(Setup!$H$2=0,-1,IF(A173=0,-1,A173*1/(Setup!$G$6)))</f>
        <v>-1</v>
      </c>
      <c r="F173" s="31"/>
    </row>
    <row r="174" spans="1:6" ht="15.75" x14ac:dyDescent="0.25">
      <c r="A174"/>
      <c r="B174"/>
      <c r="C174" s="29" t="str">
        <f>IF(B174=0,"EMPTY",Setup!$D$11*((PI()*2*Setup!$B$22*A174*B174)/33000))</f>
        <v>EMPTY</v>
      </c>
      <c r="D174" s="30" t="str">
        <f>IF(Setup!$H$2=0,"EMPTY",IF(B174=0,"EMPTY",B174*Setup!$B$22*Setup!$G$6*Setup!$D$11))</f>
        <v>EMPTY</v>
      </c>
      <c r="E174" s="31">
        <f>IF(Setup!$H$2=0,-1,IF(A174=0,-1,A174*1/(Setup!$G$6)))</f>
        <v>-1</v>
      </c>
      <c r="F174" s="31"/>
    </row>
    <row r="175" spans="1:6" ht="15.75" x14ac:dyDescent="0.25">
      <c r="A175"/>
      <c r="B175"/>
      <c r="C175" s="29" t="str">
        <f>IF(B175=0,"EMPTY",Setup!$D$11*((PI()*2*Setup!$B$22*A175*B175)/33000))</f>
        <v>EMPTY</v>
      </c>
      <c r="D175" s="30" t="str">
        <f>IF(Setup!$H$2=0,"EMPTY",IF(B175=0,"EMPTY",B175*Setup!$B$22*Setup!$G$6*Setup!$D$11))</f>
        <v>EMPTY</v>
      </c>
      <c r="E175" s="31">
        <f>IF(Setup!$H$2=0,-1,IF(A175=0,-1,A175*1/(Setup!$G$6)))</f>
        <v>-1</v>
      </c>
      <c r="F175" s="31"/>
    </row>
    <row r="176" spans="1:6" ht="15.75" x14ac:dyDescent="0.25">
      <c r="A176"/>
      <c r="B176"/>
      <c r="C176" s="29" t="str">
        <f>IF(B176=0,"EMPTY",Setup!$D$11*((PI()*2*Setup!$B$22*A176*B176)/33000))</f>
        <v>EMPTY</v>
      </c>
      <c r="D176" s="30" t="str">
        <f>IF(Setup!$H$2=0,"EMPTY",IF(B176=0,"EMPTY",B176*Setup!$B$22*Setup!$G$6*Setup!$D$11))</f>
        <v>EMPTY</v>
      </c>
      <c r="E176" s="31">
        <f>IF(Setup!$H$2=0,-1,IF(A176=0,-1,A176*1/(Setup!$G$6)))</f>
        <v>-1</v>
      </c>
      <c r="F176" s="31"/>
    </row>
    <row r="177" spans="1:6" ht="15.75" x14ac:dyDescent="0.25">
      <c r="A177"/>
      <c r="B177"/>
      <c r="C177" s="29" t="str">
        <f>IF(B177=0,"EMPTY",Setup!$D$11*((PI()*2*Setup!$B$22*A177*B177)/33000))</f>
        <v>EMPTY</v>
      </c>
      <c r="D177" s="30" t="str">
        <f>IF(Setup!$H$2=0,"EMPTY",IF(B177=0,"EMPTY",B177*Setup!$B$22*Setup!$G$6*Setup!$D$11))</f>
        <v>EMPTY</v>
      </c>
      <c r="E177" s="31">
        <f>IF(Setup!$H$2=0,-1,IF(A177=0,-1,A177*1/(Setup!$G$6)))</f>
        <v>-1</v>
      </c>
      <c r="F177" s="31"/>
    </row>
    <row r="178" spans="1:6" ht="15.75" x14ac:dyDescent="0.25">
      <c r="A178"/>
      <c r="B178"/>
      <c r="C178" s="29" t="str">
        <f>IF(B178=0,"EMPTY",Setup!$D$11*((PI()*2*Setup!$B$22*A178*B178)/33000))</f>
        <v>EMPTY</v>
      </c>
      <c r="D178" s="30" t="str">
        <f>IF(Setup!$H$2=0,"EMPTY",IF(B178=0,"EMPTY",B178*Setup!$B$22*Setup!$G$6*Setup!$D$11))</f>
        <v>EMPTY</v>
      </c>
      <c r="E178" s="31">
        <f>IF(Setup!$H$2=0,-1,IF(A178=0,-1,A178*1/(Setup!$G$6)))</f>
        <v>-1</v>
      </c>
      <c r="F178" s="31"/>
    </row>
    <row r="179" spans="1:6" ht="15.75" x14ac:dyDescent="0.25">
      <c r="A179"/>
      <c r="B179"/>
      <c r="C179" s="29" t="str">
        <f>IF(B179=0,"EMPTY",Setup!$D$11*((PI()*2*Setup!$B$22*A179*B179)/33000))</f>
        <v>EMPTY</v>
      </c>
      <c r="D179" s="30" t="str">
        <f>IF(Setup!$H$2=0,"EMPTY",IF(B179=0,"EMPTY",B179*Setup!$B$22*Setup!$G$6*Setup!$D$11))</f>
        <v>EMPTY</v>
      </c>
      <c r="E179" s="31">
        <f>IF(Setup!$H$2=0,-1,IF(A179=0,-1,A179*1/(Setup!$G$6)))</f>
        <v>-1</v>
      </c>
      <c r="F179" s="31"/>
    </row>
    <row r="180" spans="1:6" ht="15.75" x14ac:dyDescent="0.25">
      <c r="A180"/>
      <c r="B180"/>
      <c r="C180" s="29" t="str">
        <f>IF(B180=0,"EMPTY",Setup!$D$11*((PI()*2*Setup!$B$22*A180*B180)/33000))</f>
        <v>EMPTY</v>
      </c>
      <c r="D180" s="30" t="str">
        <f>IF(Setup!$H$2=0,"EMPTY",IF(B180=0,"EMPTY",B180*Setup!$B$22*Setup!$G$6*Setup!$D$11))</f>
        <v>EMPTY</v>
      </c>
      <c r="E180" s="31">
        <f>IF(Setup!$H$2=0,-1,IF(A180=0,-1,A180*1/(Setup!$G$6)))</f>
        <v>-1</v>
      </c>
      <c r="F180" s="31"/>
    </row>
    <row r="181" spans="1:6" ht="15.75" x14ac:dyDescent="0.25">
      <c r="A181"/>
      <c r="B181"/>
      <c r="C181" s="29" t="str">
        <f>IF(B181=0,"EMPTY",Setup!$D$11*((PI()*2*Setup!$B$22*A181*B181)/33000))</f>
        <v>EMPTY</v>
      </c>
      <c r="D181" s="30" t="str">
        <f>IF(Setup!$H$2=0,"EMPTY",IF(B181=0,"EMPTY",B181*Setup!$B$22*Setup!$G$6*Setup!$D$11))</f>
        <v>EMPTY</v>
      </c>
      <c r="E181" s="31">
        <f>IF(Setup!$H$2=0,-1,IF(A181=0,-1,A181*1/(Setup!$G$6)))</f>
        <v>-1</v>
      </c>
      <c r="F181" s="31"/>
    </row>
    <row r="182" spans="1:6" ht="15.75" x14ac:dyDescent="0.25">
      <c r="A182"/>
      <c r="B182"/>
      <c r="C182" s="29" t="str">
        <f>IF(B182=0,"EMPTY",Setup!$D$11*((PI()*2*Setup!$B$22*A182*B182)/33000))</f>
        <v>EMPTY</v>
      </c>
      <c r="D182" s="30" t="str">
        <f>IF(Setup!$H$2=0,"EMPTY",IF(B182=0,"EMPTY",B182*Setup!$B$22*Setup!$G$6*Setup!$D$11))</f>
        <v>EMPTY</v>
      </c>
      <c r="E182" s="31">
        <f>IF(Setup!$H$2=0,-1,IF(A182=0,-1,A182*1/(Setup!$G$6)))</f>
        <v>-1</v>
      </c>
      <c r="F182" s="31"/>
    </row>
    <row r="183" spans="1:6" ht="15.75" x14ac:dyDescent="0.25">
      <c r="A183"/>
      <c r="B183"/>
      <c r="C183" s="29" t="str">
        <f>IF(B183=0,"EMPTY",Setup!$D$11*((PI()*2*Setup!$B$22*A183*B183)/33000))</f>
        <v>EMPTY</v>
      </c>
      <c r="D183" s="30" t="str">
        <f>IF(Setup!$H$2=0,"EMPTY",IF(B183=0,"EMPTY",B183*Setup!$B$22*Setup!$G$6*Setup!$D$11))</f>
        <v>EMPTY</v>
      </c>
      <c r="E183" s="31">
        <f>IF(Setup!$H$2=0,-1,IF(A183=0,-1,A183*1/(Setup!$G$6)))</f>
        <v>-1</v>
      </c>
      <c r="F183" s="31"/>
    </row>
    <row r="184" spans="1:6" ht="15.75" x14ac:dyDescent="0.25">
      <c r="A184"/>
      <c r="B184"/>
      <c r="C184" s="29" t="str">
        <f>IF(B184=0,"EMPTY",Setup!$D$11*((PI()*2*Setup!$B$22*A184*B184)/33000))</f>
        <v>EMPTY</v>
      </c>
      <c r="D184" s="30" t="str">
        <f>IF(Setup!$H$2=0,"EMPTY",IF(B184=0,"EMPTY",B184*Setup!$B$22*Setup!$G$6*Setup!$D$11))</f>
        <v>EMPTY</v>
      </c>
      <c r="E184" s="31">
        <f>IF(Setup!$H$2=0,-1,IF(A184=0,-1,A184*1/(Setup!$G$6)))</f>
        <v>-1</v>
      </c>
      <c r="F184" s="31"/>
    </row>
    <row r="185" spans="1:6" ht="15.75" x14ac:dyDescent="0.25">
      <c r="A185"/>
      <c r="B185"/>
      <c r="C185" s="29" t="str">
        <f>IF(B185=0,"EMPTY",Setup!$D$11*((PI()*2*Setup!$B$22*A185*B185)/33000))</f>
        <v>EMPTY</v>
      </c>
      <c r="D185" s="30" t="str">
        <f>IF(Setup!$H$2=0,"EMPTY",IF(B185=0,"EMPTY",B185*Setup!$B$22*Setup!$G$6*Setup!$D$11))</f>
        <v>EMPTY</v>
      </c>
      <c r="E185" s="31">
        <f>IF(Setup!$H$2=0,-1,IF(A185=0,-1,A185*1/(Setup!$G$6)))</f>
        <v>-1</v>
      </c>
      <c r="F185" s="31"/>
    </row>
    <row r="186" spans="1:6" ht="15.75" x14ac:dyDescent="0.25">
      <c r="A186"/>
      <c r="B186"/>
      <c r="C186" s="29" t="str">
        <f>IF(B186=0,"EMPTY",Setup!$D$11*((PI()*2*Setup!$B$22*A186*B186)/33000))</f>
        <v>EMPTY</v>
      </c>
      <c r="D186" s="30" t="str">
        <f>IF(Setup!$H$2=0,"EMPTY",IF(B186=0,"EMPTY",B186*Setup!$B$22*Setup!$G$6*Setup!$D$11))</f>
        <v>EMPTY</v>
      </c>
      <c r="E186" s="31">
        <f>IF(Setup!$H$2=0,-1,IF(A186=0,-1,A186*1/(Setup!$G$6)))</f>
        <v>-1</v>
      </c>
      <c r="F186" s="31"/>
    </row>
    <row r="187" spans="1:6" ht="15.75" x14ac:dyDescent="0.25">
      <c r="A187"/>
      <c r="B187"/>
      <c r="C187" s="29" t="str">
        <f>IF(B187=0,"EMPTY",Setup!$D$11*((PI()*2*Setup!$B$22*A187*B187)/33000))</f>
        <v>EMPTY</v>
      </c>
      <c r="D187" s="30" t="str">
        <f>IF(Setup!$H$2=0,"EMPTY",IF(B187=0,"EMPTY",B187*Setup!$B$22*Setup!$G$6*Setup!$D$11))</f>
        <v>EMPTY</v>
      </c>
      <c r="E187" s="31">
        <f>IF(Setup!$H$2=0,-1,IF(A187=0,-1,A187*1/(Setup!$G$6)))</f>
        <v>-1</v>
      </c>
      <c r="F187" s="31"/>
    </row>
    <row r="188" spans="1:6" ht="15.75" x14ac:dyDescent="0.25">
      <c r="A188"/>
      <c r="B188"/>
      <c r="C188" s="29" t="str">
        <f>IF(B188=0,"EMPTY",Setup!$D$11*((PI()*2*Setup!$B$22*A188*B188)/33000))</f>
        <v>EMPTY</v>
      </c>
      <c r="D188" s="30" t="str">
        <f>IF(Setup!$H$2=0,"EMPTY",IF(B188=0,"EMPTY",B188*Setup!$B$22*Setup!$G$6*Setup!$D$11))</f>
        <v>EMPTY</v>
      </c>
      <c r="E188" s="31">
        <f>IF(Setup!$H$2=0,-1,IF(A188=0,-1,A188*1/(Setup!$G$6)))</f>
        <v>-1</v>
      </c>
      <c r="F188" s="31"/>
    </row>
    <row r="189" spans="1:6" ht="15.75" x14ac:dyDescent="0.25">
      <c r="A189"/>
      <c r="B189"/>
      <c r="C189" s="29" t="str">
        <f>IF(B189=0,"EMPTY",Setup!$D$11*((PI()*2*Setup!$B$22*A189*B189)/33000))</f>
        <v>EMPTY</v>
      </c>
      <c r="D189" s="30" t="str">
        <f>IF(Setup!$H$2=0,"EMPTY",IF(B189=0,"EMPTY",B189*Setup!$B$22*Setup!$G$6*Setup!$D$11))</f>
        <v>EMPTY</v>
      </c>
      <c r="E189" s="31">
        <f>IF(Setup!$H$2=0,-1,IF(A189=0,-1,A189*1/(Setup!$G$6)))</f>
        <v>-1</v>
      </c>
      <c r="F189" s="31"/>
    </row>
    <row r="190" spans="1:6" ht="15.75" x14ac:dyDescent="0.25">
      <c r="A190"/>
      <c r="B190"/>
      <c r="C190" s="29" t="str">
        <f>IF(B190=0,"EMPTY",Setup!$D$11*((PI()*2*Setup!$B$22*A190*B190)/33000))</f>
        <v>EMPTY</v>
      </c>
      <c r="D190" s="30" t="str">
        <f>IF(Setup!$H$2=0,"EMPTY",IF(B190=0,"EMPTY",B190*Setup!$B$22*Setup!$G$6*Setup!$D$11))</f>
        <v>EMPTY</v>
      </c>
      <c r="E190" s="31">
        <f>IF(Setup!$H$2=0,-1,IF(A190=0,-1,A190*1/(Setup!$G$6)))</f>
        <v>-1</v>
      </c>
      <c r="F190" s="31"/>
    </row>
    <row r="191" spans="1:6" ht="15.75" x14ac:dyDescent="0.25">
      <c r="A191"/>
      <c r="B191"/>
      <c r="C191" s="29" t="str">
        <f>IF(B191=0,"EMPTY",Setup!$D$11*((PI()*2*Setup!$B$22*A191*B191)/33000))</f>
        <v>EMPTY</v>
      </c>
      <c r="D191" s="30" t="str">
        <f>IF(Setup!$H$2=0,"EMPTY",IF(B191=0,"EMPTY",B191*Setup!$B$22*Setup!$G$6*Setup!$D$11))</f>
        <v>EMPTY</v>
      </c>
      <c r="E191" s="31">
        <f>IF(Setup!$H$2=0,-1,IF(A191=0,-1,A191*1/(Setup!$G$6)))</f>
        <v>-1</v>
      </c>
      <c r="F191" s="31"/>
    </row>
    <row r="192" spans="1:6" ht="15.75" x14ac:dyDescent="0.25">
      <c r="A192"/>
      <c r="B192"/>
      <c r="C192" s="29" t="str">
        <f>IF(B192=0,"EMPTY",Setup!$D$11*((PI()*2*Setup!$B$22*A192*B192)/33000))</f>
        <v>EMPTY</v>
      </c>
      <c r="D192" s="30" t="str">
        <f>IF(Setup!$H$2=0,"EMPTY",IF(B192=0,"EMPTY",B192*Setup!$B$22*Setup!$G$6*Setup!$D$11))</f>
        <v>EMPTY</v>
      </c>
      <c r="E192" s="31">
        <f>IF(Setup!$H$2=0,-1,IF(A192=0,-1,A192*1/(Setup!$G$6)))</f>
        <v>-1</v>
      </c>
      <c r="F192" s="31"/>
    </row>
    <row r="193" spans="1:6" ht="15.75" x14ac:dyDescent="0.25">
      <c r="A193"/>
      <c r="B193"/>
      <c r="C193" s="29" t="str">
        <f>IF(B193=0,"EMPTY",Setup!$D$11*((PI()*2*Setup!$B$22*A193*B193)/33000))</f>
        <v>EMPTY</v>
      </c>
      <c r="D193" s="30" t="str">
        <f>IF(Setup!$H$2=0,"EMPTY",IF(B193=0,"EMPTY",B193*Setup!$B$22*Setup!$G$6*Setup!$D$11))</f>
        <v>EMPTY</v>
      </c>
      <c r="E193" s="31">
        <f>IF(Setup!$H$2=0,-1,IF(A193=0,-1,A193*1/(Setup!$G$6)))</f>
        <v>-1</v>
      </c>
      <c r="F193" s="31"/>
    </row>
    <row r="194" spans="1:6" ht="15.75" x14ac:dyDescent="0.25">
      <c r="A194"/>
      <c r="B194"/>
      <c r="C194" s="29" t="str">
        <f>IF(B194=0,"EMPTY",Setup!$D$11*((PI()*2*Setup!$B$22*A194*B194)/33000))</f>
        <v>EMPTY</v>
      </c>
      <c r="D194" s="30" t="str">
        <f>IF(Setup!$H$2=0,"EMPTY",IF(B194=0,"EMPTY",B194*Setup!$B$22*Setup!$G$6*Setup!$D$11))</f>
        <v>EMPTY</v>
      </c>
      <c r="E194" s="31">
        <f>IF(Setup!$H$2=0,-1,IF(A194=0,-1,A194*1/(Setup!$G$6)))</f>
        <v>-1</v>
      </c>
      <c r="F194" s="31"/>
    </row>
    <row r="195" spans="1:6" ht="15.75" x14ac:dyDescent="0.25">
      <c r="A195"/>
      <c r="B195"/>
      <c r="C195" s="29" t="str">
        <f>IF(B195=0,"EMPTY",Setup!$D$11*((PI()*2*Setup!$B$22*A195*B195)/33000))</f>
        <v>EMPTY</v>
      </c>
      <c r="D195" s="30" t="str">
        <f>IF(Setup!$H$2=0,"EMPTY",IF(B195=0,"EMPTY",B195*Setup!$B$22*Setup!$G$6*Setup!$D$11))</f>
        <v>EMPTY</v>
      </c>
      <c r="E195" s="31">
        <f>IF(Setup!$H$2=0,-1,IF(A195=0,-1,A195*1/(Setup!$G$6)))</f>
        <v>-1</v>
      </c>
      <c r="F195" s="31"/>
    </row>
    <row r="196" spans="1:6" ht="15.75" x14ac:dyDescent="0.25">
      <c r="A196"/>
      <c r="B196"/>
      <c r="C196" s="29" t="str">
        <f>IF(B196=0,"EMPTY",Setup!$D$11*((PI()*2*Setup!$B$22*A196*B196)/33000))</f>
        <v>EMPTY</v>
      </c>
      <c r="D196" s="30" t="str">
        <f>IF(Setup!$H$2=0,"EMPTY",IF(B196=0,"EMPTY",B196*Setup!$B$22*Setup!$G$6*Setup!$D$11))</f>
        <v>EMPTY</v>
      </c>
      <c r="E196" s="31">
        <f>IF(Setup!$H$2=0,-1,IF(A196=0,-1,A196*1/(Setup!$G$6)))</f>
        <v>-1</v>
      </c>
      <c r="F196" s="31"/>
    </row>
    <row r="197" spans="1:6" ht="15.75" x14ac:dyDescent="0.25">
      <c r="A197"/>
      <c r="B197"/>
      <c r="C197" s="29" t="str">
        <f>IF(B197=0,"EMPTY",Setup!$D$11*((PI()*2*Setup!$B$22*A197*B197)/33000))</f>
        <v>EMPTY</v>
      </c>
      <c r="D197" s="30" t="str">
        <f>IF(Setup!$H$2=0,"EMPTY",IF(B197=0,"EMPTY",B197*Setup!$B$22*Setup!$G$6*Setup!$D$11))</f>
        <v>EMPTY</v>
      </c>
      <c r="E197" s="31">
        <f>IF(Setup!$H$2=0,-1,IF(A197=0,-1,A197*1/(Setup!$G$6)))</f>
        <v>-1</v>
      </c>
      <c r="F197" s="31"/>
    </row>
    <row r="198" spans="1:6" ht="15.75" x14ac:dyDescent="0.25">
      <c r="A198"/>
      <c r="B198"/>
      <c r="C198" s="29" t="str">
        <f>IF(B198=0,"EMPTY",Setup!$D$11*((PI()*2*Setup!$B$22*A198*B198)/33000))</f>
        <v>EMPTY</v>
      </c>
      <c r="D198" s="30" t="str">
        <f>IF(Setup!$H$2=0,"EMPTY",IF(B198=0,"EMPTY",B198*Setup!$B$22*Setup!$G$6*Setup!$D$11))</f>
        <v>EMPTY</v>
      </c>
      <c r="E198" s="31">
        <f>IF(Setup!$H$2=0,-1,IF(A198=0,-1,A198*1/(Setup!$G$6)))</f>
        <v>-1</v>
      </c>
      <c r="F198" s="31"/>
    </row>
    <row r="199" spans="1:6" ht="15.75" x14ac:dyDescent="0.25">
      <c r="A199"/>
      <c r="B199"/>
      <c r="C199" s="29" t="str">
        <f>IF(B199=0,"EMPTY",Setup!$D$11*((PI()*2*Setup!$B$22*A199*B199)/33000))</f>
        <v>EMPTY</v>
      </c>
      <c r="D199" s="30" t="str">
        <f>IF(Setup!$H$2=0,"EMPTY",IF(B199=0,"EMPTY",B199*Setup!$B$22*Setup!$G$6*Setup!$D$11))</f>
        <v>EMPTY</v>
      </c>
      <c r="E199" s="31">
        <f>IF(Setup!$H$2=0,-1,IF(A199=0,-1,A199*1/(Setup!$G$6)))</f>
        <v>-1</v>
      </c>
      <c r="F199" s="31"/>
    </row>
    <row r="200" spans="1:6" ht="15.75" x14ac:dyDescent="0.25">
      <c r="A200"/>
      <c r="B200"/>
      <c r="C200" s="29" t="str">
        <f>IF(B200=0,"EMPTY",Setup!$D$11*((PI()*2*Setup!$B$22*A200*B200)/33000))</f>
        <v>EMPTY</v>
      </c>
      <c r="D200" s="30" t="str">
        <f>IF(Setup!$H$2=0,"EMPTY",IF(B200=0,"EMPTY",B200*Setup!$B$22*Setup!$G$6*Setup!$D$11))</f>
        <v>EMPTY</v>
      </c>
      <c r="E200" s="31">
        <f>IF(Setup!$H$2=0,-1,IF(A200=0,-1,A200*1/(Setup!$G$6)))</f>
        <v>-1</v>
      </c>
      <c r="F200" s="31"/>
    </row>
    <row r="201" spans="1:6" ht="15.75" x14ac:dyDescent="0.25">
      <c r="A201"/>
      <c r="B201"/>
      <c r="C201" s="29" t="str">
        <f>IF(B201=0,"EMPTY",Setup!$D$11*((PI()*2*Setup!$B$22*A201*B201)/33000))</f>
        <v>EMPTY</v>
      </c>
      <c r="D201" s="30" t="str">
        <f>IF(Setup!$H$2=0,"EMPTY",IF(B201=0,"EMPTY",B201*Setup!$B$22*Setup!$G$6*Setup!$D$11))</f>
        <v>EMPTY</v>
      </c>
      <c r="E201" s="31">
        <f>IF(Setup!$H$2=0,-1,IF(A201=0,-1,A201*1/(Setup!$G$6)))</f>
        <v>-1</v>
      </c>
      <c r="F201" s="31"/>
    </row>
    <row r="202" spans="1:6" ht="15.75" x14ac:dyDescent="0.25">
      <c r="A202"/>
      <c r="B202"/>
      <c r="C202" s="29" t="str">
        <f>IF(B202=0,"EMPTY",Setup!$D$11*((PI()*2*Setup!$B$22*A202*B202)/33000))</f>
        <v>EMPTY</v>
      </c>
      <c r="D202" s="30" t="str">
        <f>IF(Setup!$H$2=0,"EMPTY",IF(B202=0,"EMPTY",B202*Setup!$B$22*Setup!$G$6*Setup!$D$11))</f>
        <v>EMPTY</v>
      </c>
      <c r="E202" s="31">
        <f>IF(Setup!$H$2=0,-1,IF(A202=0,-1,A202*1/(Setup!$G$6)))</f>
        <v>-1</v>
      </c>
      <c r="F202" s="31"/>
    </row>
    <row r="203" spans="1:6" ht="15.75" x14ac:dyDescent="0.25">
      <c r="A203"/>
      <c r="B203"/>
      <c r="C203" s="29" t="str">
        <f>IF(B203=0,"EMPTY",Setup!$D$11*((PI()*2*Setup!$B$22*A203*B203)/33000))</f>
        <v>EMPTY</v>
      </c>
      <c r="D203" s="30" t="str">
        <f>IF(Setup!$H$2=0,"EMPTY",IF(B203=0,"EMPTY",B203*Setup!$B$22*Setup!$G$6*Setup!$D$11))</f>
        <v>EMPTY</v>
      </c>
      <c r="E203" s="31">
        <f>IF(Setup!$H$2=0,-1,IF(A203=0,-1,A203*1/(Setup!$G$6)))</f>
        <v>-1</v>
      </c>
      <c r="F203" s="31"/>
    </row>
    <row r="204" spans="1:6" ht="15.75" x14ac:dyDescent="0.25">
      <c r="A204"/>
      <c r="B204"/>
      <c r="C204" s="29" t="str">
        <f>IF(B204=0,"EMPTY",Setup!$D$11*((PI()*2*Setup!$B$22*A204*B204)/33000))</f>
        <v>EMPTY</v>
      </c>
      <c r="D204" s="30" t="str">
        <f>IF(Setup!$H$2=0,"EMPTY",IF(B204=0,"EMPTY",B204*Setup!$B$22*Setup!$G$6*Setup!$D$11))</f>
        <v>EMPTY</v>
      </c>
      <c r="E204" s="31">
        <f>IF(Setup!$H$2=0,-1,IF(A204=0,-1,A204*1/(Setup!$G$6)))</f>
        <v>-1</v>
      </c>
      <c r="F204" s="31"/>
    </row>
    <row r="205" spans="1:6" ht="15.75" x14ac:dyDescent="0.25">
      <c r="A205"/>
      <c r="B205"/>
      <c r="C205" s="29" t="str">
        <f>IF(B205=0,"EMPTY",Setup!$D$11*((PI()*2*Setup!$B$22*A205*B205)/33000))</f>
        <v>EMPTY</v>
      </c>
      <c r="D205" s="30" t="str">
        <f>IF(Setup!$H$2=0,"EMPTY",IF(B205=0,"EMPTY",B205*Setup!$B$22*Setup!$G$6*Setup!$D$11))</f>
        <v>EMPTY</v>
      </c>
      <c r="E205" s="31">
        <f>IF(Setup!$H$2=0,-1,IF(A205=0,-1,A205*1/(Setup!$G$6)))</f>
        <v>-1</v>
      </c>
      <c r="F205" s="31"/>
    </row>
    <row r="206" spans="1:6" ht="15.75" x14ac:dyDescent="0.25">
      <c r="A206"/>
      <c r="B206"/>
      <c r="C206" s="29" t="str">
        <f>IF(B206=0,"EMPTY",Setup!$D$11*((PI()*2*Setup!$B$22*A206*B206)/33000))</f>
        <v>EMPTY</v>
      </c>
      <c r="D206" s="30" t="str">
        <f>IF(Setup!$H$2=0,"EMPTY",IF(B206=0,"EMPTY",B206*Setup!$B$22*Setup!$G$6*Setup!$D$11))</f>
        <v>EMPTY</v>
      </c>
      <c r="E206" s="31">
        <f>IF(Setup!$H$2=0,-1,IF(A206=0,-1,A206*1/(Setup!$G$6)))</f>
        <v>-1</v>
      </c>
      <c r="F206" s="31"/>
    </row>
    <row r="207" spans="1:6" ht="15.75" x14ac:dyDescent="0.25">
      <c r="A207"/>
      <c r="B207"/>
      <c r="C207" s="29" t="str">
        <f>IF(B207=0,"EMPTY",Setup!$D$11*((PI()*2*Setup!$B$22*A207*B207)/33000))</f>
        <v>EMPTY</v>
      </c>
      <c r="D207" s="30" t="str">
        <f>IF(Setup!$H$2=0,"EMPTY",IF(B207=0,"EMPTY",B207*Setup!$B$22*Setup!$G$6*Setup!$D$11))</f>
        <v>EMPTY</v>
      </c>
      <c r="E207" s="31">
        <f>IF(Setup!$H$2=0,-1,IF(A207=0,-1,A207*1/(Setup!$G$6)))</f>
        <v>-1</v>
      </c>
      <c r="F207" s="31"/>
    </row>
    <row r="208" spans="1:6" ht="15.75" x14ac:dyDescent="0.25">
      <c r="A208"/>
      <c r="B208"/>
      <c r="C208" s="29" t="str">
        <f>IF(B208=0,"EMPTY",Setup!$D$11*((PI()*2*Setup!$B$22*A208*B208)/33000))</f>
        <v>EMPTY</v>
      </c>
      <c r="D208" s="30" t="str">
        <f>IF(Setup!$H$2=0,"EMPTY",IF(B208=0,"EMPTY",B208*Setup!$B$22*Setup!$G$6*Setup!$D$11))</f>
        <v>EMPTY</v>
      </c>
      <c r="E208" s="31">
        <f>IF(Setup!$H$2=0,-1,IF(A208=0,-1,A208*1/(Setup!$G$6)))</f>
        <v>-1</v>
      </c>
      <c r="F208" s="31"/>
    </row>
    <row r="209" spans="1:6" ht="15.75" x14ac:dyDescent="0.25">
      <c r="A209"/>
      <c r="B209"/>
      <c r="C209" s="29" t="str">
        <f>IF(B209=0,"EMPTY",Setup!$D$11*((PI()*2*Setup!$B$22*A209*B209)/33000))</f>
        <v>EMPTY</v>
      </c>
      <c r="D209" s="30" t="str">
        <f>IF(Setup!$H$2=0,"EMPTY",IF(B209=0,"EMPTY",B209*Setup!$B$22*Setup!$G$6*Setup!$D$11))</f>
        <v>EMPTY</v>
      </c>
      <c r="E209" s="31">
        <f>IF(Setup!$H$2=0,-1,IF(A209=0,-1,A209*1/(Setup!$G$6)))</f>
        <v>-1</v>
      </c>
      <c r="F209" s="31"/>
    </row>
    <row r="210" spans="1:6" ht="15.75" x14ac:dyDescent="0.25">
      <c r="A210"/>
      <c r="B210"/>
      <c r="C210" s="29" t="str">
        <f>IF(B210=0,"EMPTY",Setup!$D$11*((PI()*2*Setup!$B$22*A210*B210)/33000))</f>
        <v>EMPTY</v>
      </c>
      <c r="D210" s="30" t="str">
        <f>IF(Setup!$H$2=0,"EMPTY",IF(B210=0,"EMPTY",B210*Setup!$B$22*Setup!$G$6*Setup!$D$11))</f>
        <v>EMPTY</v>
      </c>
      <c r="E210" s="31">
        <f>IF(Setup!$H$2=0,-1,IF(A210=0,-1,A210*1/(Setup!$G$6)))</f>
        <v>-1</v>
      </c>
      <c r="F210" s="31"/>
    </row>
    <row r="211" spans="1:6" ht="15.75" x14ac:dyDescent="0.25">
      <c r="A211"/>
      <c r="B211"/>
      <c r="C211" s="29" t="str">
        <f>IF(B211=0,"EMPTY",Setup!$D$11*((PI()*2*Setup!$B$22*A211*B211)/33000))</f>
        <v>EMPTY</v>
      </c>
      <c r="D211" s="30" t="str">
        <f>IF(Setup!$H$2=0,"EMPTY",IF(B211=0,"EMPTY",B211*Setup!$B$22*Setup!$G$6*Setup!$D$11))</f>
        <v>EMPTY</v>
      </c>
      <c r="E211" s="31">
        <f>IF(Setup!$H$2=0,-1,IF(A211=0,-1,A211*1/(Setup!$G$6)))</f>
        <v>-1</v>
      </c>
      <c r="F211" s="31"/>
    </row>
    <row r="212" spans="1:6" ht="15.75" x14ac:dyDescent="0.25">
      <c r="A212"/>
      <c r="B212"/>
      <c r="C212" s="29" t="str">
        <f>IF(B212=0,"EMPTY",Setup!$D$11*((PI()*2*Setup!$B$22*A212*B212)/33000))</f>
        <v>EMPTY</v>
      </c>
      <c r="D212" s="30" t="str">
        <f>IF(Setup!$H$2=0,"EMPTY",IF(B212=0,"EMPTY",B212*Setup!$B$22*Setup!$G$6*Setup!$D$11))</f>
        <v>EMPTY</v>
      </c>
      <c r="E212" s="31">
        <f>IF(Setup!$H$2=0,-1,IF(A212=0,-1,A212*1/(Setup!$G$6)))</f>
        <v>-1</v>
      </c>
      <c r="F212" s="31"/>
    </row>
    <row r="213" spans="1:6" ht="15.75" x14ac:dyDescent="0.25">
      <c r="A213"/>
      <c r="B213"/>
      <c r="C213" s="29" t="str">
        <f>IF(B213=0,"EMPTY",Setup!$D$11*((PI()*2*Setup!$B$22*A213*B213)/33000))</f>
        <v>EMPTY</v>
      </c>
      <c r="D213" s="30" t="str">
        <f>IF(Setup!$H$2=0,"EMPTY",IF(B213=0,"EMPTY",B213*Setup!$B$22*Setup!$G$6*Setup!$D$11))</f>
        <v>EMPTY</v>
      </c>
      <c r="E213" s="31">
        <f>IF(Setup!$H$2=0,-1,IF(A213=0,-1,A213*1/(Setup!$G$6)))</f>
        <v>-1</v>
      </c>
      <c r="F213" s="31"/>
    </row>
    <row r="214" spans="1:6" ht="15.75" x14ac:dyDescent="0.25">
      <c r="A214"/>
      <c r="B214"/>
      <c r="C214" s="29" t="str">
        <f>IF(B214=0,"EMPTY",Setup!$D$11*((PI()*2*Setup!$B$22*A214*B214)/33000))</f>
        <v>EMPTY</v>
      </c>
      <c r="D214" s="30" t="str">
        <f>IF(Setup!$H$2=0,"EMPTY",IF(B214=0,"EMPTY",B214*Setup!$B$22*Setup!$G$6*Setup!$D$11))</f>
        <v>EMPTY</v>
      </c>
      <c r="E214" s="31">
        <f>IF(Setup!$H$2=0,-1,IF(A214=0,-1,A214*1/(Setup!$G$6)))</f>
        <v>-1</v>
      </c>
      <c r="F214" s="31"/>
    </row>
    <row r="215" spans="1:6" ht="15.75" x14ac:dyDescent="0.25">
      <c r="A215"/>
      <c r="B215"/>
      <c r="C215" s="29" t="str">
        <f>IF(B215=0,"EMPTY",Setup!$D$11*((PI()*2*Setup!$B$22*A215*B215)/33000))</f>
        <v>EMPTY</v>
      </c>
      <c r="D215" s="30" t="str">
        <f>IF(Setup!$H$2=0,"EMPTY",IF(B215=0,"EMPTY",B215*Setup!$B$22*Setup!$G$6*Setup!$D$11))</f>
        <v>EMPTY</v>
      </c>
      <c r="E215" s="31">
        <f>IF(Setup!$H$2=0,-1,IF(A215=0,-1,A215*1/(Setup!$G$6)))</f>
        <v>-1</v>
      </c>
      <c r="F215" s="31"/>
    </row>
    <row r="216" spans="1:6" ht="15.75" x14ac:dyDescent="0.25">
      <c r="A216"/>
      <c r="B216"/>
      <c r="C216" s="29" t="str">
        <f>IF(B216=0,"EMPTY",Setup!$D$11*((PI()*2*Setup!$B$22*A216*B216)/33000))</f>
        <v>EMPTY</v>
      </c>
      <c r="D216" s="30" t="str">
        <f>IF(Setup!$H$2=0,"EMPTY",IF(B216=0,"EMPTY",B216*Setup!$B$22*Setup!$G$6*Setup!$D$11))</f>
        <v>EMPTY</v>
      </c>
      <c r="E216" s="31">
        <f>IF(Setup!$H$2=0,-1,IF(A216=0,-1,A216*1/(Setup!$G$6)))</f>
        <v>-1</v>
      </c>
      <c r="F216" s="31"/>
    </row>
    <row r="217" spans="1:6" ht="15.75" x14ac:dyDescent="0.25">
      <c r="A217"/>
      <c r="B217"/>
      <c r="C217" s="29" t="str">
        <f>IF(B217=0,"EMPTY",Setup!$D$11*((PI()*2*Setup!$B$22*A217*B217)/33000))</f>
        <v>EMPTY</v>
      </c>
      <c r="D217" s="30" t="str">
        <f>IF(Setup!$H$2=0,"EMPTY",IF(B217=0,"EMPTY",B217*Setup!$B$22*Setup!$G$6*Setup!$D$11))</f>
        <v>EMPTY</v>
      </c>
      <c r="E217" s="31">
        <f>IF(Setup!$H$2=0,-1,IF(A217=0,-1,A217*1/(Setup!$G$6)))</f>
        <v>-1</v>
      </c>
      <c r="F217" s="31"/>
    </row>
    <row r="218" spans="1:6" ht="15.75" x14ac:dyDescent="0.25">
      <c r="A218"/>
      <c r="B218"/>
      <c r="C218" s="29" t="str">
        <f>IF(B218=0,"EMPTY",Setup!$D$11*((PI()*2*Setup!$B$22*A218*B218)/33000))</f>
        <v>EMPTY</v>
      </c>
      <c r="D218" s="30" t="str">
        <f>IF(Setup!$H$2=0,"EMPTY",IF(B218=0,"EMPTY",B218*Setup!$B$22*Setup!$G$6*Setup!$D$11))</f>
        <v>EMPTY</v>
      </c>
      <c r="E218" s="31">
        <f>IF(Setup!$H$2=0,-1,IF(A218=0,-1,A218*1/(Setup!$G$6)))</f>
        <v>-1</v>
      </c>
      <c r="F218" s="31"/>
    </row>
    <row r="219" spans="1:6" ht="15.75" x14ac:dyDescent="0.25">
      <c r="A219"/>
      <c r="B219"/>
      <c r="C219" s="29" t="str">
        <f>IF(B219=0,"EMPTY",Setup!$D$11*((PI()*2*Setup!$B$22*A219*B219)/33000))</f>
        <v>EMPTY</v>
      </c>
      <c r="D219" s="30" t="str">
        <f>IF(Setup!$H$2=0,"EMPTY",IF(B219=0,"EMPTY",B219*Setup!$B$22*Setup!$G$6*Setup!$D$11))</f>
        <v>EMPTY</v>
      </c>
      <c r="E219" s="31">
        <f>IF(Setup!$H$2=0,-1,IF(A219=0,-1,A219*1/(Setup!$G$6)))</f>
        <v>-1</v>
      </c>
      <c r="F219" s="31"/>
    </row>
    <row r="220" spans="1:6" ht="15.75" x14ac:dyDescent="0.25">
      <c r="A220"/>
      <c r="B220"/>
      <c r="C220" s="29" t="str">
        <f>IF(B220=0,"EMPTY",Setup!$D$11*((PI()*2*Setup!$B$22*A220*B220)/33000))</f>
        <v>EMPTY</v>
      </c>
      <c r="D220" s="30" t="str">
        <f>IF(Setup!$H$2=0,"EMPTY",IF(B220=0,"EMPTY",B220*Setup!$B$22*Setup!$G$6*Setup!$D$11))</f>
        <v>EMPTY</v>
      </c>
      <c r="E220" s="31">
        <f>IF(Setup!$H$2=0,-1,IF(A220=0,-1,A220*1/(Setup!$G$6)))</f>
        <v>-1</v>
      </c>
      <c r="F220" s="31"/>
    </row>
    <row r="221" spans="1:6" ht="15.75" x14ac:dyDescent="0.25">
      <c r="A221"/>
      <c r="B221"/>
      <c r="C221" s="29" t="str">
        <f>IF(B221=0,"EMPTY",Setup!$D$11*((PI()*2*Setup!$B$22*A221*B221)/33000))</f>
        <v>EMPTY</v>
      </c>
      <c r="D221" s="30" t="str">
        <f>IF(Setup!$H$2=0,"EMPTY",IF(B221=0,"EMPTY",B221*Setup!$B$22*Setup!$G$6*Setup!$D$11))</f>
        <v>EMPTY</v>
      </c>
      <c r="E221" s="31">
        <f>IF(Setup!$H$2=0,-1,IF(A221=0,-1,A221*1/(Setup!$G$6)))</f>
        <v>-1</v>
      </c>
      <c r="F221" s="31"/>
    </row>
    <row r="222" spans="1:6" ht="15.75" x14ac:dyDescent="0.25">
      <c r="A222"/>
      <c r="B222"/>
      <c r="C222" s="29" t="str">
        <f>IF(B222=0,"EMPTY",Setup!$D$11*((PI()*2*Setup!$B$22*A222*B222)/33000))</f>
        <v>EMPTY</v>
      </c>
      <c r="D222" s="30" t="str">
        <f>IF(Setup!$H$2=0,"EMPTY",IF(B222=0,"EMPTY",B222*Setup!$B$22*Setup!$G$6*Setup!$D$11))</f>
        <v>EMPTY</v>
      </c>
      <c r="E222" s="31">
        <f>IF(Setup!$H$2=0,-1,IF(A222=0,-1,A222*1/(Setup!$G$6)))</f>
        <v>-1</v>
      </c>
      <c r="F222" s="31"/>
    </row>
    <row r="223" spans="1:6" ht="15.75" x14ac:dyDescent="0.25">
      <c r="A223"/>
      <c r="B223"/>
      <c r="C223" s="29" t="str">
        <f>IF(B223=0,"EMPTY",Setup!$D$11*((PI()*2*Setup!$B$22*A223*B223)/33000))</f>
        <v>EMPTY</v>
      </c>
      <c r="D223" s="30" t="str">
        <f>IF(Setup!$H$2=0,"EMPTY",IF(B223=0,"EMPTY",B223*Setup!$B$22*Setup!$G$6*Setup!$D$11))</f>
        <v>EMPTY</v>
      </c>
      <c r="E223" s="31">
        <f>IF(Setup!$H$2=0,-1,IF(A223=0,-1,A223*1/(Setup!$G$6)))</f>
        <v>-1</v>
      </c>
      <c r="F223" s="31"/>
    </row>
    <row r="224" spans="1:6" ht="15.75" x14ac:dyDescent="0.25">
      <c r="A224"/>
      <c r="B224"/>
      <c r="C224" s="29" t="str">
        <f>IF(B224=0,"EMPTY",Setup!$D$11*((PI()*2*Setup!$B$22*A224*B224)/33000))</f>
        <v>EMPTY</v>
      </c>
      <c r="D224" s="30" t="str">
        <f>IF(Setup!$H$2=0,"EMPTY",IF(B224=0,"EMPTY",B224*Setup!$B$22*Setup!$G$6*Setup!$D$11))</f>
        <v>EMPTY</v>
      </c>
      <c r="E224" s="31">
        <f>IF(Setup!$H$2=0,-1,IF(A224=0,-1,A224*1/(Setup!$G$6)))</f>
        <v>-1</v>
      </c>
      <c r="F224" s="31"/>
    </row>
    <row r="225" spans="1:6" ht="15.75" x14ac:dyDescent="0.25">
      <c r="A225"/>
      <c r="B225"/>
      <c r="C225" s="29" t="str">
        <f>IF(B225=0,"EMPTY",Setup!$D$11*((PI()*2*Setup!$B$22*A225*B225)/33000))</f>
        <v>EMPTY</v>
      </c>
      <c r="D225" s="30" t="str">
        <f>IF(Setup!$H$2=0,"EMPTY",IF(B225=0,"EMPTY",B225*Setup!$B$22*Setup!$G$6*Setup!$D$11))</f>
        <v>EMPTY</v>
      </c>
      <c r="E225" s="31">
        <f>IF(Setup!$H$2=0,-1,IF(A225=0,-1,A225*1/(Setup!$G$6)))</f>
        <v>-1</v>
      </c>
      <c r="F225" s="31"/>
    </row>
    <row r="226" spans="1:6" ht="15.75" x14ac:dyDescent="0.25">
      <c r="A226"/>
      <c r="B226"/>
      <c r="C226" s="29" t="str">
        <f>IF(B226=0,"EMPTY",Setup!$D$11*((PI()*2*Setup!$B$22*A226*B226)/33000))</f>
        <v>EMPTY</v>
      </c>
      <c r="D226" s="30" t="str">
        <f>IF(Setup!$H$2=0,"EMPTY",IF(B226=0,"EMPTY",B226*Setup!$B$22*Setup!$G$6*Setup!$D$11))</f>
        <v>EMPTY</v>
      </c>
      <c r="E226" s="31">
        <f>IF(Setup!$H$2=0,-1,IF(A226=0,-1,A226*1/(Setup!$G$6)))</f>
        <v>-1</v>
      </c>
      <c r="F226" s="31"/>
    </row>
    <row r="227" spans="1:6" ht="15.75" x14ac:dyDescent="0.25">
      <c r="A227"/>
      <c r="B227"/>
      <c r="C227" s="29" t="str">
        <f>IF(B227=0,"EMPTY",Setup!$D$11*((PI()*2*Setup!$B$22*A227*B227)/33000))</f>
        <v>EMPTY</v>
      </c>
      <c r="D227" s="30" t="str">
        <f>IF(Setup!$H$2=0,"EMPTY",IF(B227=0,"EMPTY",B227*Setup!$B$22*Setup!$G$6*Setup!$D$11))</f>
        <v>EMPTY</v>
      </c>
      <c r="E227" s="31">
        <f>IF(Setup!$H$2=0,-1,IF(A227=0,-1,A227*1/(Setup!$G$6)))</f>
        <v>-1</v>
      </c>
      <c r="F227" s="31"/>
    </row>
    <row r="228" spans="1:6" ht="15.75" x14ac:dyDescent="0.25">
      <c r="A228"/>
      <c r="B228"/>
      <c r="C228" s="29" t="str">
        <f>IF(B228=0,"EMPTY",Setup!$D$11*((PI()*2*Setup!$B$22*A228*B228)/33000))</f>
        <v>EMPTY</v>
      </c>
      <c r="D228" s="30" t="str">
        <f>IF(Setup!$H$2=0,"EMPTY",IF(B228=0,"EMPTY",B228*Setup!$B$22*Setup!$G$6*Setup!$D$11))</f>
        <v>EMPTY</v>
      </c>
      <c r="E228" s="31">
        <f>IF(Setup!$H$2=0,-1,IF(A228=0,-1,A228*1/(Setup!$G$6)))</f>
        <v>-1</v>
      </c>
      <c r="F228" s="31"/>
    </row>
    <row r="229" spans="1:6" ht="15.75" x14ac:dyDescent="0.25">
      <c r="A229"/>
      <c r="B229"/>
      <c r="C229" s="29" t="str">
        <f>IF(B229=0,"EMPTY",Setup!$D$11*((PI()*2*Setup!$B$22*A229*B229)/33000))</f>
        <v>EMPTY</v>
      </c>
      <c r="D229" s="30" t="str">
        <f>IF(Setup!$H$2=0,"EMPTY",IF(B229=0,"EMPTY",B229*Setup!$B$22*Setup!$G$6*Setup!$D$11))</f>
        <v>EMPTY</v>
      </c>
      <c r="E229" s="31">
        <f>IF(Setup!$H$2=0,-1,IF(A229=0,-1,A229*1/(Setup!$G$6)))</f>
        <v>-1</v>
      </c>
      <c r="F229" s="31"/>
    </row>
    <row r="230" spans="1:6" ht="15.75" x14ac:dyDescent="0.25">
      <c r="A230"/>
      <c r="B230"/>
      <c r="C230" s="29" t="str">
        <f>IF(B230=0,"EMPTY",Setup!$D$11*((PI()*2*Setup!$B$22*A230*B230)/33000))</f>
        <v>EMPTY</v>
      </c>
      <c r="D230" s="30" t="str">
        <f>IF(Setup!$H$2=0,"EMPTY",IF(B230=0,"EMPTY",B230*Setup!$B$22*Setup!$G$6*Setup!$D$11))</f>
        <v>EMPTY</v>
      </c>
      <c r="E230" s="31">
        <f>IF(Setup!$H$2=0,-1,IF(A230=0,-1,A230*1/(Setup!$G$6)))</f>
        <v>-1</v>
      </c>
      <c r="F230" s="31"/>
    </row>
    <row r="231" spans="1:6" ht="15.75" x14ac:dyDescent="0.25">
      <c r="A231"/>
      <c r="B231"/>
      <c r="C231" s="29" t="str">
        <f>IF(B231=0,"EMPTY",Setup!$D$11*((PI()*2*Setup!$B$22*A231*B231)/33000))</f>
        <v>EMPTY</v>
      </c>
      <c r="D231" s="30" t="str">
        <f>IF(Setup!$H$2=0,"EMPTY",IF(B231=0,"EMPTY",B231*Setup!$B$22*Setup!$G$6*Setup!$D$11))</f>
        <v>EMPTY</v>
      </c>
      <c r="E231" s="31">
        <f>IF(Setup!$H$2=0,-1,IF(A231=0,-1,A231*1/(Setup!$G$6)))</f>
        <v>-1</v>
      </c>
      <c r="F231" s="31"/>
    </row>
    <row r="232" spans="1:6" ht="15.75" x14ac:dyDescent="0.25">
      <c r="A232"/>
      <c r="B232"/>
      <c r="C232" s="29" t="str">
        <f>IF(B232=0,"EMPTY",Setup!$D$11*((PI()*2*Setup!$B$22*A232*B232)/33000))</f>
        <v>EMPTY</v>
      </c>
      <c r="D232" s="30" t="str">
        <f>IF(Setup!$H$2=0,"EMPTY",IF(B232=0,"EMPTY",B232*Setup!$B$22*Setup!$G$6*Setup!$D$11))</f>
        <v>EMPTY</v>
      </c>
      <c r="E232" s="31">
        <f>IF(Setup!$H$2=0,-1,IF(A232=0,-1,A232*1/(Setup!$G$6)))</f>
        <v>-1</v>
      </c>
      <c r="F232" s="31"/>
    </row>
    <row r="233" spans="1:6" ht="15.75" x14ac:dyDescent="0.25">
      <c r="A233"/>
      <c r="B233"/>
      <c r="C233" s="29" t="str">
        <f>IF(B233=0,"EMPTY",Setup!$D$11*((PI()*2*Setup!$B$22*A233*B233)/33000))</f>
        <v>EMPTY</v>
      </c>
      <c r="D233" s="30" t="str">
        <f>IF(Setup!$H$2=0,"EMPTY",IF(B233=0,"EMPTY",B233*Setup!$B$22*Setup!$G$6*Setup!$D$11))</f>
        <v>EMPTY</v>
      </c>
      <c r="E233" s="31">
        <f>IF(Setup!$H$2=0,-1,IF(A233=0,-1,A233*1/(Setup!$G$6)))</f>
        <v>-1</v>
      </c>
      <c r="F233" s="31"/>
    </row>
    <row r="234" spans="1:6" ht="15.75" x14ac:dyDescent="0.25">
      <c r="A234"/>
      <c r="B234"/>
      <c r="C234" s="29" t="str">
        <f>IF(B234=0,"EMPTY",Setup!$D$11*((PI()*2*Setup!$B$22*A234*B234)/33000))</f>
        <v>EMPTY</v>
      </c>
      <c r="D234" s="30" t="str">
        <f>IF(Setup!$H$2=0,"EMPTY",IF(B234=0,"EMPTY",B234*Setup!$B$22*Setup!$G$6*Setup!$D$11))</f>
        <v>EMPTY</v>
      </c>
      <c r="E234" s="31">
        <f>IF(Setup!$H$2=0,-1,IF(A234=0,-1,A234*1/(Setup!$G$6)))</f>
        <v>-1</v>
      </c>
      <c r="F234" s="31"/>
    </row>
    <row r="235" spans="1:6" ht="15.75" x14ac:dyDescent="0.25">
      <c r="A235"/>
      <c r="B235"/>
      <c r="C235" s="29" t="str">
        <f>IF(B235=0,"EMPTY",Setup!$D$11*((PI()*2*Setup!$B$22*A235*B235)/33000))</f>
        <v>EMPTY</v>
      </c>
      <c r="D235" s="30" t="str">
        <f>IF(Setup!$H$2=0,"EMPTY",IF(B235=0,"EMPTY",B235*Setup!$B$22*Setup!$G$6*Setup!$D$11))</f>
        <v>EMPTY</v>
      </c>
      <c r="E235" s="31">
        <f>IF(Setup!$H$2=0,-1,IF(A235=0,-1,A235*1/(Setup!$G$6)))</f>
        <v>-1</v>
      </c>
      <c r="F235" s="31"/>
    </row>
    <row r="236" spans="1:6" ht="15.75" x14ac:dyDescent="0.25">
      <c r="A236"/>
      <c r="B236"/>
      <c r="C236" s="29" t="str">
        <f>IF(B236=0,"EMPTY",Setup!$D$11*((PI()*2*Setup!$B$22*A236*B236)/33000))</f>
        <v>EMPTY</v>
      </c>
      <c r="D236" s="30" t="str">
        <f>IF(Setup!$H$2=0,"EMPTY",IF(B236=0,"EMPTY",B236*Setup!$B$22*Setup!$G$6*Setup!$D$11))</f>
        <v>EMPTY</v>
      </c>
      <c r="E236" s="31">
        <f>IF(Setup!$H$2=0,-1,IF(A236=0,-1,A236*1/(Setup!$G$6)))</f>
        <v>-1</v>
      </c>
      <c r="F236" s="31"/>
    </row>
    <row r="237" spans="1:6" ht="15.75" x14ac:dyDescent="0.25">
      <c r="A237"/>
      <c r="B237"/>
      <c r="C237" s="29" t="str">
        <f>IF(B237=0,"EMPTY",Setup!$D$11*((PI()*2*Setup!$B$22*A237*B237)/33000))</f>
        <v>EMPTY</v>
      </c>
      <c r="D237" s="30" t="str">
        <f>IF(Setup!$H$2=0,"EMPTY",IF(B237=0,"EMPTY",B237*Setup!$B$22*Setup!$G$6*Setup!$D$11))</f>
        <v>EMPTY</v>
      </c>
      <c r="E237" s="31">
        <f>IF(Setup!$H$2=0,-1,IF(A237=0,-1,A237*1/(Setup!$G$6)))</f>
        <v>-1</v>
      </c>
      <c r="F237" s="31"/>
    </row>
    <row r="238" spans="1:6" ht="15.75" x14ac:dyDescent="0.25">
      <c r="A238"/>
      <c r="B238"/>
      <c r="C238" s="29" t="str">
        <f>IF(B238=0,"EMPTY",Setup!$D$11*((PI()*2*Setup!$B$22*A238*B238)/33000))</f>
        <v>EMPTY</v>
      </c>
      <c r="D238" s="30" t="str">
        <f>IF(Setup!$H$2=0,"EMPTY",IF(B238=0,"EMPTY",B238*Setup!$B$22*Setup!$G$6*Setup!$D$11))</f>
        <v>EMPTY</v>
      </c>
      <c r="E238" s="31">
        <f>IF(Setup!$H$2=0,-1,IF(A238=0,-1,A238*1/(Setup!$G$6)))</f>
        <v>-1</v>
      </c>
      <c r="F238" s="31"/>
    </row>
    <row r="239" spans="1:6" ht="15.75" x14ac:dyDescent="0.25">
      <c r="A239"/>
      <c r="B239"/>
      <c r="C239" s="29" t="str">
        <f>IF(B239=0,"EMPTY",Setup!$D$11*((PI()*2*Setup!$B$22*A239*B239)/33000))</f>
        <v>EMPTY</v>
      </c>
      <c r="D239" s="30" t="str">
        <f>IF(Setup!$H$2=0,"EMPTY",IF(B239=0,"EMPTY",B239*Setup!$B$22*Setup!$G$6*Setup!$D$11))</f>
        <v>EMPTY</v>
      </c>
      <c r="E239" s="31">
        <f>IF(Setup!$H$2=0,-1,IF(A239=0,-1,A239*1/(Setup!$G$6)))</f>
        <v>-1</v>
      </c>
      <c r="F239" s="31"/>
    </row>
    <row r="240" spans="1:6" ht="15.75" x14ac:dyDescent="0.25">
      <c r="A240"/>
      <c r="B240"/>
      <c r="C240" s="29" t="str">
        <f>IF(B240=0,"EMPTY",Setup!$D$11*((PI()*2*Setup!$B$22*A240*B240)/33000))</f>
        <v>EMPTY</v>
      </c>
      <c r="D240" s="30" t="str">
        <f>IF(Setup!$H$2=0,"EMPTY",IF(B240=0,"EMPTY",B240*Setup!$B$22*Setup!$G$6*Setup!$D$11))</f>
        <v>EMPTY</v>
      </c>
      <c r="E240" s="31">
        <f>IF(Setup!$H$2=0,-1,IF(A240=0,-1,A240*1/(Setup!$G$6)))</f>
        <v>-1</v>
      </c>
      <c r="F240" s="31"/>
    </row>
    <row r="241" spans="1:6" ht="15.75" x14ac:dyDescent="0.25">
      <c r="A241"/>
      <c r="B241"/>
      <c r="C241" s="29" t="str">
        <f>IF(B241=0,"EMPTY",Setup!$D$11*((PI()*2*Setup!$B$22*A241*B241)/33000))</f>
        <v>EMPTY</v>
      </c>
      <c r="D241" s="30" t="str">
        <f>IF(Setup!$H$2=0,"EMPTY",IF(B241=0,"EMPTY",B241*Setup!$B$22*Setup!$G$6*Setup!$D$11))</f>
        <v>EMPTY</v>
      </c>
      <c r="E241" s="31">
        <f>IF(Setup!$H$2=0,-1,IF(A241=0,-1,A241*1/(Setup!$G$6)))</f>
        <v>-1</v>
      </c>
      <c r="F241" s="31"/>
    </row>
    <row r="242" spans="1:6" ht="15.75" x14ac:dyDescent="0.25">
      <c r="A242"/>
      <c r="B242"/>
      <c r="C242" s="29" t="str">
        <f>IF(B242=0,"EMPTY",Setup!$D$11*((PI()*2*Setup!$B$22*A242*B242)/33000))</f>
        <v>EMPTY</v>
      </c>
      <c r="D242" s="30" t="str">
        <f>IF(Setup!$H$2=0,"EMPTY",IF(B242=0,"EMPTY",B242*Setup!$B$22*Setup!$G$6*Setup!$D$11))</f>
        <v>EMPTY</v>
      </c>
      <c r="E242" s="31">
        <f>IF(Setup!$H$2=0,-1,IF(A242=0,-1,A242*1/(Setup!$G$6)))</f>
        <v>-1</v>
      </c>
      <c r="F242" s="31"/>
    </row>
    <row r="243" spans="1:6" ht="15.75" x14ac:dyDescent="0.25">
      <c r="A243"/>
      <c r="B243"/>
      <c r="C243" s="29" t="str">
        <f>IF(B243=0,"EMPTY",Setup!$D$11*((PI()*2*Setup!$B$22*A243*B243)/33000))</f>
        <v>EMPTY</v>
      </c>
      <c r="D243" s="30" t="str">
        <f>IF(Setup!$H$2=0,"EMPTY",IF(B243=0,"EMPTY",B243*Setup!$B$22*Setup!$G$6*Setup!$D$11))</f>
        <v>EMPTY</v>
      </c>
      <c r="E243" s="31">
        <f>IF(Setup!$H$2=0,-1,IF(A243=0,-1,A243*1/(Setup!$G$6)))</f>
        <v>-1</v>
      </c>
      <c r="F243" s="31"/>
    </row>
    <row r="244" spans="1:6" ht="15.75" x14ac:dyDescent="0.25">
      <c r="A244"/>
      <c r="B244"/>
      <c r="C244" s="29" t="str">
        <f>IF(B244=0,"EMPTY",Setup!$D$11*((PI()*2*Setup!$B$22*A244*B244)/33000))</f>
        <v>EMPTY</v>
      </c>
      <c r="D244" s="30" t="str">
        <f>IF(Setup!$H$2=0,"EMPTY",IF(B244=0,"EMPTY",B244*Setup!$B$22*Setup!$G$6*Setup!$D$11))</f>
        <v>EMPTY</v>
      </c>
      <c r="E244" s="31">
        <f>IF(Setup!$H$2=0,-1,IF(A244=0,-1,A244*1/(Setup!$G$6)))</f>
        <v>-1</v>
      </c>
      <c r="F244" s="31"/>
    </row>
    <row r="245" spans="1:6" ht="15.75" x14ac:dyDescent="0.25">
      <c r="A245"/>
      <c r="B245"/>
      <c r="C245" s="29" t="str">
        <f>IF(B245=0,"EMPTY",Setup!$D$11*((PI()*2*Setup!$B$22*A245*B245)/33000))</f>
        <v>EMPTY</v>
      </c>
      <c r="D245" s="30" t="str">
        <f>IF(Setup!$H$2=0,"EMPTY",IF(B245=0,"EMPTY",B245*Setup!$B$22*Setup!$G$6*Setup!$D$11))</f>
        <v>EMPTY</v>
      </c>
      <c r="E245" s="31">
        <f>IF(Setup!$H$2=0,-1,IF(A245=0,-1,A245*1/(Setup!$G$6)))</f>
        <v>-1</v>
      </c>
      <c r="F245" s="31"/>
    </row>
    <row r="246" spans="1:6" ht="15.75" x14ac:dyDescent="0.25">
      <c r="A246"/>
      <c r="B246"/>
      <c r="C246" s="29" t="str">
        <f>IF(B246=0,"EMPTY",Setup!$D$11*((PI()*2*Setup!$B$22*A246*B246)/33000))</f>
        <v>EMPTY</v>
      </c>
      <c r="D246" s="30" t="str">
        <f>IF(Setup!$H$2=0,"EMPTY",IF(B246=0,"EMPTY",B246*Setup!$B$22*Setup!$G$6*Setup!$D$11))</f>
        <v>EMPTY</v>
      </c>
      <c r="E246" s="31">
        <f>IF(Setup!$H$2=0,-1,IF(A246=0,-1,A246*1/(Setup!$G$6)))</f>
        <v>-1</v>
      </c>
      <c r="F246" s="31"/>
    </row>
    <row r="247" spans="1:6" ht="15.75" x14ac:dyDescent="0.25">
      <c r="A247"/>
      <c r="B247"/>
      <c r="C247" s="29" t="str">
        <f>IF(B247=0,"EMPTY",Setup!$D$11*((PI()*2*Setup!$B$22*A247*B247)/33000))</f>
        <v>EMPTY</v>
      </c>
      <c r="D247" s="30" t="str">
        <f>IF(Setup!$H$2=0,"EMPTY",IF(B247=0,"EMPTY",B247*Setup!$B$22*Setup!$G$6*Setup!$D$11))</f>
        <v>EMPTY</v>
      </c>
      <c r="E247" s="31">
        <f>IF(Setup!$H$2=0,-1,IF(A247=0,-1,A247*1/(Setup!$G$6)))</f>
        <v>-1</v>
      </c>
      <c r="F247" s="31"/>
    </row>
    <row r="248" spans="1:6" ht="15.75" x14ac:dyDescent="0.25">
      <c r="A248"/>
      <c r="B248"/>
      <c r="C248" s="29" t="str">
        <f>IF(B248=0,"EMPTY",Setup!$D$11*((PI()*2*Setup!$B$22*A248*B248)/33000))</f>
        <v>EMPTY</v>
      </c>
      <c r="D248" s="30" t="str">
        <f>IF(Setup!$H$2=0,"EMPTY",IF(B248=0,"EMPTY",B248*Setup!$B$22*Setup!$G$6*Setup!$D$11))</f>
        <v>EMPTY</v>
      </c>
      <c r="E248" s="31">
        <f>IF(Setup!$H$2=0,-1,IF(A248=0,-1,A248*1/(Setup!$G$6)))</f>
        <v>-1</v>
      </c>
      <c r="F248" s="31"/>
    </row>
    <row r="249" spans="1:6" ht="15.75" x14ac:dyDescent="0.25">
      <c r="A249"/>
      <c r="B249"/>
      <c r="C249" s="29" t="str">
        <f>IF(B249=0,"EMPTY",Setup!$D$11*((PI()*2*Setup!$B$22*A249*B249)/33000))</f>
        <v>EMPTY</v>
      </c>
      <c r="D249" s="30" t="str">
        <f>IF(Setup!$H$2=0,"EMPTY",IF(B249=0,"EMPTY",B249*Setup!$B$22*Setup!$G$6*Setup!$D$11))</f>
        <v>EMPTY</v>
      </c>
      <c r="E249" s="31">
        <f>IF(Setup!$H$2=0,-1,IF(A249=0,-1,A249*1/(Setup!$G$6)))</f>
        <v>-1</v>
      </c>
      <c r="F249" s="31"/>
    </row>
    <row r="250" spans="1:6" ht="15.75" x14ac:dyDescent="0.25">
      <c r="A250"/>
      <c r="B250"/>
      <c r="C250" s="29" t="str">
        <f>IF(B250=0,"EMPTY",Setup!$D$11*((PI()*2*Setup!$B$22*A250*B250)/33000))</f>
        <v>EMPTY</v>
      </c>
      <c r="D250" s="30" t="str">
        <f>IF(Setup!$H$2=0,"EMPTY",IF(B250=0,"EMPTY",B250*Setup!$B$22*Setup!$G$6*Setup!$D$11))</f>
        <v>EMPTY</v>
      </c>
      <c r="E250" s="31">
        <f>IF(Setup!$H$2=0,-1,IF(A250=0,-1,A250*1/(Setup!$G$6)))</f>
        <v>-1</v>
      </c>
      <c r="F250" s="31"/>
    </row>
    <row r="251" spans="1:6" ht="15.75" x14ac:dyDescent="0.25">
      <c r="A251"/>
      <c r="B251"/>
      <c r="C251" s="29" t="str">
        <f>IF(B251=0,"EMPTY",Setup!$D$11*((PI()*2*Setup!$B$22*A251*B251)/33000))</f>
        <v>EMPTY</v>
      </c>
      <c r="D251" s="30" t="str">
        <f>IF(Setup!$H$2=0,"EMPTY",IF(B251=0,"EMPTY",B251*Setup!$B$22*Setup!$G$6*Setup!$D$11))</f>
        <v>EMPTY</v>
      </c>
      <c r="E251" s="31">
        <f>IF(Setup!$H$2=0,-1,IF(A251=0,-1,A251*1/(Setup!$G$6)))</f>
        <v>-1</v>
      </c>
      <c r="F251" s="31"/>
    </row>
    <row r="252" spans="1:6" ht="15.75" x14ac:dyDescent="0.25">
      <c r="A252"/>
      <c r="B252"/>
      <c r="C252" s="29" t="str">
        <f>IF(B252=0,"EMPTY",Setup!$D$11*((PI()*2*Setup!$B$22*A252*B252)/33000))</f>
        <v>EMPTY</v>
      </c>
      <c r="D252" s="30" t="str">
        <f>IF(Setup!$H$2=0,"EMPTY",IF(B252=0,"EMPTY",B252*Setup!$B$22*Setup!$G$6*Setup!$D$11))</f>
        <v>EMPTY</v>
      </c>
      <c r="E252" s="31">
        <f>IF(Setup!$H$2=0,-1,IF(A252=0,-1,A252*1/(Setup!$G$6)))</f>
        <v>-1</v>
      </c>
      <c r="F252" s="31"/>
    </row>
    <row r="253" spans="1:6" ht="15.75" x14ac:dyDescent="0.25">
      <c r="A253"/>
      <c r="B253"/>
      <c r="C253" s="29" t="str">
        <f>IF(B253=0,"EMPTY",Setup!$D$11*((PI()*2*Setup!$B$22*A253*B253)/33000))</f>
        <v>EMPTY</v>
      </c>
      <c r="D253" s="30" t="str">
        <f>IF(Setup!$H$2=0,"EMPTY",IF(B253=0,"EMPTY",B253*Setup!$B$22*Setup!$G$6*Setup!$D$11))</f>
        <v>EMPTY</v>
      </c>
      <c r="E253" s="31">
        <f>IF(Setup!$H$2=0,-1,IF(A253=0,-1,A253*1/(Setup!$G$6)))</f>
        <v>-1</v>
      </c>
      <c r="F253" s="31"/>
    </row>
    <row r="254" spans="1:6" ht="15.75" x14ac:dyDescent="0.25">
      <c r="A254"/>
      <c r="B254"/>
      <c r="C254" s="29" t="str">
        <f>IF(B254=0,"EMPTY",Setup!$D$11*((PI()*2*Setup!$B$22*A254*B254)/33000))</f>
        <v>EMPTY</v>
      </c>
      <c r="D254" s="30" t="str">
        <f>IF(Setup!$H$2=0,"EMPTY",IF(B254=0,"EMPTY",B254*Setup!$B$22*Setup!$G$6*Setup!$D$11))</f>
        <v>EMPTY</v>
      </c>
      <c r="E254" s="31">
        <f>IF(Setup!$H$2=0,-1,IF(A254=0,-1,A254*1/(Setup!$G$6)))</f>
        <v>-1</v>
      </c>
      <c r="F254" s="31"/>
    </row>
    <row r="255" spans="1:6" ht="15.75" x14ac:dyDescent="0.25">
      <c r="A255"/>
      <c r="B255"/>
      <c r="C255" s="29" t="str">
        <f>IF(B255=0,"EMPTY",Setup!$D$11*((PI()*2*Setup!$B$22*A255*B255)/33000))</f>
        <v>EMPTY</v>
      </c>
      <c r="D255" s="30" t="str">
        <f>IF(Setup!$H$2=0,"EMPTY",IF(B255=0,"EMPTY",B255*Setup!$B$22*Setup!$G$6*Setup!$D$11))</f>
        <v>EMPTY</v>
      </c>
      <c r="E255" s="31">
        <f>IF(Setup!$H$2=0,-1,IF(A255=0,-1,A255*1/(Setup!$G$6)))</f>
        <v>-1</v>
      </c>
      <c r="F255" s="31"/>
    </row>
    <row r="256" spans="1:6" ht="15.75" x14ac:dyDescent="0.25">
      <c r="A256"/>
      <c r="B256"/>
      <c r="C256" s="29" t="str">
        <f>IF(B256=0,"EMPTY",Setup!$D$11*((PI()*2*Setup!$B$22*A256*B256)/33000))</f>
        <v>EMPTY</v>
      </c>
      <c r="D256" s="30" t="str">
        <f>IF(Setup!$H$2=0,"EMPTY",IF(B256=0,"EMPTY",B256*Setup!$B$22*Setup!$G$6*Setup!$D$11))</f>
        <v>EMPTY</v>
      </c>
      <c r="E256" s="31">
        <f>IF(Setup!$H$2=0,-1,IF(A256=0,-1,A256*1/(Setup!$G$6)))</f>
        <v>-1</v>
      </c>
      <c r="F256" s="31"/>
    </row>
    <row r="257" spans="1:6" ht="15.75" x14ac:dyDescent="0.25">
      <c r="A257"/>
      <c r="B257"/>
      <c r="C257" s="29" t="str">
        <f>IF(B257=0,"EMPTY",Setup!$D$11*((PI()*2*Setup!$B$22*A257*B257)/33000))</f>
        <v>EMPTY</v>
      </c>
      <c r="D257" s="30" t="str">
        <f>IF(Setup!$H$2=0,"EMPTY",IF(B257=0,"EMPTY",B257*Setup!$B$22*Setup!$G$6*Setup!$D$11))</f>
        <v>EMPTY</v>
      </c>
      <c r="E257" s="31">
        <f>IF(Setup!$H$2=0,-1,IF(A257=0,-1,A257*1/(Setup!$G$6)))</f>
        <v>-1</v>
      </c>
      <c r="F257" s="31"/>
    </row>
    <row r="258" spans="1:6" ht="15.75" x14ac:dyDescent="0.25">
      <c r="A258"/>
      <c r="B258"/>
      <c r="C258" s="29" t="str">
        <f>IF(B258=0,"EMPTY",Setup!$D$11*((PI()*2*Setup!$B$22*A258*B258)/33000))</f>
        <v>EMPTY</v>
      </c>
      <c r="D258" s="30" t="str">
        <f>IF(Setup!$H$2=0,"EMPTY",IF(B258=0,"EMPTY",B258*Setup!$B$22*Setup!$G$6*Setup!$D$11))</f>
        <v>EMPTY</v>
      </c>
      <c r="E258" s="31">
        <f>IF(Setup!$H$2=0,-1,IF(A258=0,-1,A258*1/(Setup!$G$6)))</f>
        <v>-1</v>
      </c>
      <c r="F258" s="31"/>
    </row>
    <row r="259" spans="1:6" ht="15.75" x14ac:dyDescent="0.25">
      <c r="A259"/>
      <c r="B259"/>
      <c r="C259" s="29" t="str">
        <f>IF(B259=0,"EMPTY",Setup!$D$11*((PI()*2*Setup!$B$22*A259*B259)/33000))</f>
        <v>EMPTY</v>
      </c>
      <c r="D259" s="30" t="str">
        <f>IF(Setup!$H$2=0,"EMPTY",IF(B259=0,"EMPTY",B259*Setup!$B$22*Setup!$G$6*Setup!$D$11))</f>
        <v>EMPTY</v>
      </c>
      <c r="E259" s="31">
        <f>IF(Setup!$H$2=0,-1,IF(A259=0,-1,A259*1/(Setup!$G$6)))</f>
        <v>-1</v>
      </c>
      <c r="F259" s="31"/>
    </row>
    <row r="260" spans="1:6" ht="15.75" x14ac:dyDescent="0.25">
      <c r="A260"/>
      <c r="B260"/>
      <c r="C260" s="29" t="str">
        <f>IF(B260=0,"EMPTY",Setup!$D$11*((PI()*2*Setup!$B$22*A260*B260)/33000))</f>
        <v>EMPTY</v>
      </c>
      <c r="D260" s="30" t="str">
        <f>IF(Setup!$H$2=0,"EMPTY",IF(B260=0,"EMPTY",B260*Setup!$B$22*Setup!$G$6*Setup!$D$11))</f>
        <v>EMPTY</v>
      </c>
      <c r="E260" s="31">
        <f>IF(Setup!$H$2=0,-1,IF(A260=0,-1,A260*1/(Setup!$G$6)))</f>
        <v>-1</v>
      </c>
      <c r="F260" s="31"/>
    </row>
    <row r="261" spans="1:6" ht="15.75" x14ac:dyDescent="0.25">
      <c r="A261"/>
      <c r="B261"/>
      <c r="C261" s="29" t="str">
        <f>IF(B261=0,"EMPTY",Setup!$D$11*((PI()*2*Setup!$B$22*A261*B261)/33000))</f>
        <v>EMPTY</v>
      </c>
      <c r="D261" s="30" t="str">
        <f>IF(Setup!$H$2=0,"EMPTY",IF(B261=0,"EMPTY",B261*Setup!$B$22*Setup!$G$6*Setup!$D$11))</f>
        <v>EMPTY</v>
      </c>
      <c r="E261" s="31">
        <f>IF(Setup!$H$2=0,-1,IF(A261=0,-1,A261*1/(Setup!$G$6)))</f>
        <v>-1</v>
      </c>
      <c r="F261" s="31"/>
    </row>
    <row r="262" spans="1:6" ht="15.75" x14ac:dyDescent="0.25">
      <c r="A262"/>
      <c r="B262"/>
      <c r="C262" s="29" t="str">
        <f>IF(B262=0,"EMPTY",Setup!$D$11*((PI()*2*Setup!$B$22*A262*B262)/33000))</f>
        <v>EMPTY</v>
      </c>
      <c r="D262" s="30" t="str">
        <f>IF(Setup!$H$2=0,"EMPTY",IF(B262=0,"EMPTY",B262*Setup!$B$22*Setup!$G$6*Setup!$D$11))</f>
        <v>EMPTY</v>
      </c>
      <c r="E262" s="31">
        <f>IF(Setup!$H$2=0,-1,IF(A262=0,-1,A262*1/(Setup!$G$6)))</f>
        <v>-1</v>
      </c>
      <c r="F262" s="31"/>
    </row>
    <row r="263" spans="1:6" ht="15.75" x14ac:dyDescent="0.25">
      <c r="A263"/>
      <c r="B263"/>
      <c r="C263" s="29" t="str">
        <f>IF(B263=0,"EMPTY",Setup!$D$11*((PI()*2*Setup!$B$22*A263*B263)/33000))</f>
        <v>EMPTY</v>
      </c>
      <c r="D263" s="30" t="str">
        <f>IF(Setup!$H$2=0,"EMPTY",IF(B263=0,"EMPTY",B263*Setup!$B$22*Setup!$G$6*Setup!$D$11))</f>
        <v>EMPTY</v>
      </c>
      <c r="E263" s="31">
        <f>IF(Setup!$H$2=0,-1,IF(A263=0,-1,A263*1/(Setup!$G$6)))</f>
        <v>-1</v>
      </c>
      <c r="F263" s="31"/>
    </row>
    <row r="264" spans="1:6" ht="15.75" x14ac:dyDescent="0.25">
      <c r="A264"/>
      <c r="B264"/>
      <c r="C264" s="29" t="str">
        <f>IF(B264=0,"EMPTY",Setup!$D$11*((PI()*2*Setup!$B$22*A264*B264)/33000))</f>
        <v>EMPTY</v>
      </c>
      <c r="D264" s="30" t="str">
        <f>IF(Setup!$H$2=0,"EMPTY",IF(B264=0,"EMPTY",B264*Setup!$B$22*Setup!$G$6*Setup!$D$11))</f>
        <v>EMPTY</v>
      </c>
      <c r="E264" s="31">
        <f>IF(Setup!$H$2=0,-1,IF(A264=0,-1,A264*1/(Setup!$G$6)))</f>
        <v>-1</v>
      </c>
      <c r="F264" s="31"/>
    </row>
    <row r="265" spans="1:6" ht="15.75" x14ac:dyDescent="0.25">
      <c r="A265"/>
      <c r="B265"/>
      <c r="C265" s="29" t="str">
        <f>IF(B265=0,"EMPTY",Setup!$D$11*((PI()*2*Setup!$B$22*A265*B265)/33000))</f>
        <v>EMPTY</v>
      </c>
      <c r="D265" s="30" t="str">
        <f>IF(Setup!$H$2=0,"EMPTY",IF(B265=0,"EMPTY",B265*Setup!$B$22*Setup!$G$6*Setup!$D$11))</f>
        <v>EMPTY</v>
      </c>
      <c r="E265" s="31">
        <f>IF(Setup!$H$2=0,-1,IF(A265=0,-1,A265*1/(Setup!$G$6)))</f>
        <v>-1</v>
      </c>
      <c r="F265" s="31"/>
    </row>
    <row r="266" spans="1:6" ht="15.75" x14ac:dyDescent="0.25">
      <c r="A266"/>
      <c r="B266"/>
      <c r="C266" s="29" t="str">
        <f>IF(B266=0,"EMPTY",Setup!$D$11*((PI()*2*Setup!$B$22*A266*B266)/33000))</f>
        <v>EMPTY</v>
      </c>
      <c r="D266" s="30" t="str">
        <f>IF(Setup!$H$2=0,"EMPTY",IF(B266=0,"EMPTY",B266*Setup!$B$22*Setup!$G$6*Setup!$D$11))</f>
        <v>EMPTY</v>
      </c>
      <c r="E266" s="31">
        <f>IF(Setup!$H$2=0,-1,IF(A266=0,-1,A266*1/(Setup!$G$6)))</f>
        <v>-1</v>
      </c>
      <c r="F266" s="31"/>
    </row>
    <row r="267" spans="1:6" ht="15.75" x14ac:dyDescent="0.25">
      <c r="A267"/>
      <c r="B267"/>
      <c r="C267" s="29" t="str">
        <f>IF(B267=0,"EMPTY",Setup!$D$11*((PI()*2*Setup!$B$22*A267*B267)/33000))</f>
        <v>EMPTY</v>
      </c>
      <c r="D267" s="30" t="str">
        <f>IF(Setup!$H$2=0,"EMPTY",IF(B267=0,"EMPTY",B267*Setup!$B$22*Setup!$G$6*Setup!$D$11))</f>
        <v>EMPTY</v>
      </c>
      <c r="E267" s="31">
        <f>IF(Setup!$H$2=0,-1,IF(A267=0,-1,A267*1/(Setup!$G$6)))</f>
        <v>-1</v>
      </c>
      <c r="F267" s="31"/>
    </row>
    <row r="268" spans="1:6" ht="15.75" x14ac:dyDescent="0.25">
      <c r="A268"/>
      <c r="B268"/>
      <c r="C268" s="29" t="str">
        <f>IF(B268=0,"EMPTY",Setup!$D$11*((PI()*2*Setup!$B$22*A268*B268)/33000))</f>
        <v>EMPTY</v>
      </c>
      <c r="D268" s="30" t="str">
        <f>IF(Setup!$H$2=0,"EMPTY",IF(B268=0,"EMPTY",B268*Setup!$B$22*Setup!$G$6*Setup!$D$11))</f>
        <v>EMPTY</v>
      </c>
      <c r="E268" s="31">
        <f>IF(Setup!$H$2=0,-1,IF(A268=0,-1,A268*1/(Setup!$G$6)))</f>
        <v>-1</v>
      </c>
      <c r="F268" s="31"/>
    </row>
    <row r="269" spans="1:6" ht="15.75" x14ac:dyDescent="0.25">
      <c r="A269"/>
      <c r="B269"/>
      <c r="C269" s="29" t="str">
        <f>IF(B269=0,"EMPTY",Setup!$D$11*((PI()*2*Setup!$B$22*A269*B269)/33000))</f>
        <v>EMPTY</v>
      </c>
      <c r="D269" s="30" t="str">
        <f>IF(Setup!$H$2=0,"EMPTY",IF(B269=0,"EMPTY",B269*Setup!$B$22*Setup!$G$6*Setup!$D$11))</f>
        <v>EMPTY</v>
      </c>
      <c r="E269" s="31">
        <f>IF(Setup!$H$2=0,-1,IF(A269=0,-1,A269*1/(Setup!$G$6)))</f>
        <v>-1</v>
      </c>
      <c r="F269" s="31"/>
    </row>
    <row r="270" spans="1:6" ht="15.75" x14ac:dyDescent="0.25">
      <c r="A270"/>
      <c r="B270"/>
      <c r="C270" s="29" t="str">
        <f>IF(B270=0,"EMPTY",Setup!$D$11*((PI()*2*Setup!$B$22*A270*B270)/33000))</f>
        <v>EMPTY</v>
      </c>
      <c r="D270" s="30" t="str">
        <f>IF(Setup!$H$2=0,"EMPTY",IF(B270=0,"EMPTY",B270*Setup!$B$22*Setup!$G$6*Setup!$D$11))</f>
        <v>EMPTY</v>
      </c>
      <c r="E270" s="31">
        <f>IF(Setup!$H$2=0,-1,IF(A270=0,-1,A270*1/(Setup!$G$6)))</f>
        <v>-1</v>
      </c>
      <c r="F270" s="31"/>
    </row>
    <row r="271" spans="1:6" ht="15.75" x14ac:dyDescent="0.25">
      <c r="A271"/>
      <c r="B271"/>
      <c r="C271" s="29" t="str">
        <f>IF(B271=0,"EMPTY",Setup!$D$11*((PI()*2*Setup!$B$22*A271*B271)/33000))</f>
        <v>EMPTY</v>
      </c>
      <c r="D271" s="30" t="str">
        <f>IF(Setup!$H$2=0,"EMPTY",IF(B271=0,"EMPTY",B271*Setup!$B$22*Setup!$G$6*Setup!$D$11))</f>
        <v>EMPTY</v>
      </c>
      <c r="E271" s="31">
        <f>IF(Setup!$H$2=0,-1,IF(A271=0,-1,A271*1/(Setup!$G$6)))</f>
        <v>-1</v>
      </c>
      <c r="F271" s="31"/>
    </row>
    <row r="272" spans="1:6" ht="15.75" x14ac:dyDescent="0.25">
      <c r="A272"/>
      <c r="B272"/>
      <c r="C272" s="29" t="str">
        <f>IF(B272=0,"EMPTY",Setup!$D$11*((PI()*2*Setup!$B$22*A272*B272)/33000))</f>
        <v>EMPTY</v>
      </c>
      <c r="D272" s="30" t="str">
        <f>IF(Setup!$H$2=0,"EMPTY",IF(B272=0,"EMPTY",B272*Setup!$B$22*Setup!$G$6*Setup!$D$11))</f>
        <v>EMPTY</v>
      </c>
      <c r="E272" s="31">
        <f>IF(Setup!$H$2=0,-1,IF(A272=0,-1,A272*1/(Setup!$G$6)))</f>
        <v>-1</v>
      </c>
      <c r="F272" s="31"/>
    </row>
    <row r="273" spans="1:6" ht="15.75" x14ac:dyDescent="0.25">
      <c r="A273"/>
      <c r="B273"/>
      <c r="C273" s="29" t="str">
        <f>IF(B273=0,"EMPTY",Setup!$D$11*((PI()*2*Setup!$B$22*A273*B273)/33000))</f>
        <v>EMPTY</v>
      </c>
      <c r="D273" s="30" t="str">
        <f>IF(Setup!$H$2=0,"EMPTY",IF(B273=0,"EMPTY",B273*Setup!$B$22*Setup!$G$6*Setup!$D$11))</f>
        <v>EMPTY</v>
      </c>
      <c r="E273" s="31">
        <f>IF(Setup!$H$2=0,-1,IF(A273=0,-1,A273*1/(Setup!$G$6)))</f>
        <v>-1</v>
      </c>
      <c r="F273" s="31"/>
    </row>
    <row r="274" spans="1:6" ht="15.75" x14ac:dyDescent="0.25">
      <c r="A274"/>
      <c r="B274"/>
      <c r="C274" s="29" t="str">
        <f>IF(B274=0,"EMPTY",Setup!$D$11*((PI()*2*Setup!$B$22*A274*B274)/33000))</f>
        <v>EMPTY</v>
      </c>
      <c r="D274" s="30" t="str">
        <f>IF(Setup!$H$2=0,"EMPTY",IF(B274=0,"EMPTY",B274*Setup!$B$22*Setup!$G$6*Setup!$D$11))</f>
        <v>EMPTY</v>
      </c>
      <c r="E274" s="31">
        <f>IF(Setup!$H$2=0,-1,IF(A274=0,-1,A274*1/(Setup!$G$6)))</f>
        <v>-1</v>
      </c>
      <c r="F274" s="31"/>
    </row>
    <row r="275" spans="1:6" ht="15.75" x14ac:dyDescent="0.25">
      <c r="A275"/>
      <c r="B275"/>
      <c r="C275" s="29" t="str">
        <f>IF(B275=0,"EMPTY",Setup!$D$11*((PI()*2*Setup!$B$22*A275*B275)/33000))</f>
        <v>EMPTY</v>
      </c>
      <c r="D275" s="30" t="str">
        <f>IF(Setup!$H$2=0,"EMPTY",IF(B275=0,"EMPTY",B275*Setup!$B$22*Setup!$G$6*Setup!$D$11))</f>
        <v>EMPTY</v>
      </c>
      <c r="E275" s="31">
        <f>IF(Setup!$H$2=0,-1,IF(A275=0,-1,A275*1/(Setup!$G$6)))</f>
        <v>-1</v>
      </c>
      <c r="F275" s="31"/>
    </row>
    <row r="276" spans="1:6" ht="15.75" x14ac:dyDescent="0.25">
      <c r="A276"/>
      <c r="B276"/>
      <c r="C276" s="29" t="str">
        <f>IF(B276=0,"EMPTY",Setup!$D$11*((PI()*2*Setup!$B$22*A276*B276)/33000))</f>
        <v>EMPTY</v>
      </c>
      <c r="D276" s="30" t="str">
        <f>IF(Setup!$H$2=0,"EMPTY",IF(B276=0,"EMPTY",B276*Setup!$B$22*Setup!$G$6*Setup!$D$11))</f>
        <v>EMPTY</v>
      </c>
      <c r="E276" s="31">
        <f>IF(Setup!$H$2=0,-1,IF(A276=0,-1,A276*1/(Setup!$G$6)))</f>
        <v>-1</v>
      </c>
      <c r="F276" s="31"/>
    </row>
    <row r="277" spans="1:6" ht="15.75" x14ac:dyDescent="0.25">
      <c r="A277"/>
      <c r="B277"/>
      <c r="C277" s="29" t="str">
        <f>IF(B277=0,"EMPTY",Setup!$D$11*((PI()*2*Setup!$B$22*A277*B277)/33000))</f>
        <v>EMPTY</v>
      </c>
      <c r="D277" s="30" t="str">
        <f>IF(Setup!$H$2=0,"EMPTY",IF(B277=0,"EMPTY",B277*Setup!$B$22*Setup!$G$6*Setup!$D$11))</f>
        <v>EMPTY</v>
      </c>
      <c r="E277" s="31">
        <f>IF(Setup!$H$2=0,-1,IF(A277=0,-1,A277*1/(Setup!$G$6)))</f>
        <v>-1</v>
      </c>
      <c r="F277" s="31"/>
    </row>
    <row r="278" spans="1:6" ht="15.75" x14ac:dyDescent="0.25">
      <c r="A278"/>
      <c r="B278"/>
      <c r="C278" s="29" t="str">
        <f>IF(B278=0,"EMPTY",Setup!$D$11*((PI()*2*Setup!$B$22*A278*B278)/33000))</f>
        <v>EMPTY</v>
      </c>
      <c r="D278" s="30" t="str">
        <f>IF(Setup!$H$2=0,"EMPTY",IF(B278=0,"EMPTY",B278*Setup!$B$22*Setup!$G$6*Setup!$D$11))</f>
        <v>EMPTY</v>
      </c>
      <c r="E278" s="31">
        <f>IF(Setup!$H$2=0,-1,IF(A278=0,-1,A278*1/(Setup!$G$6)))</f>
        <v>-1</v>
      </c>
      <c r="F278" s="31"/>
    </row>
    <row r="279" spans="1:6" ht="15.75" x14ac:dyDescent="0.25">
      <c r="A279"/>
      <c r="B279"/>
      <c r="C279" s="29" t="str">
        <f>IF(B279=0,"EMPTY",Setup!$D$11*((PI()*2*Setup!$B$22*A279*B279)/33000))</f>
        <v>EMPTY</v>
      </c>
      <c r="D279" s="30" t="str">
        <f>IF(Setup!$H$2=0,"EMPTY",IF(B279=0,"EMPTY",B279*Setup!$B$22*Setup!$G$6*Setup!$D$11))</f>
        <v>EMPTY</v>
      </c>
      <c r="E279" s="31">
        <f>IF(Setup!$H$2=0,-1,IF(A279=0,-1,A279*1/(Setup!$G$6)))</f>
        <v>-1</v>
      </c>
      <c r="F279" s="31"/>
    </row>
    <row r="280" spans="1:6" ht="15.75" x14ac:dyDescent="0.25">
      <c r="A280"/>
      <c r="B280"/>
      <c r="C280" s="29" t="str">
        <f>IF(B280=0,"EMPTY",Setup!$D$11*((PI()*2*Setup!$B$22*A280*B280)/33000))</f>
        <v>EMPTY</v>
      </c>
      <c r="D280" s="30" t="str">
        <f>IF(Setup!$H$2=0,"EMPTY",IF(B280=0,"EMPTY",B280*Setup!$B$22*Setup!$G$6*Setup!$D$11))</f>
        <v>EMPTY</v>
      </c>
      <c r="E280" s="31">
        <f>IF(Setup!$H$2=0,-1,IF(A280=0,-1,A280*1/(Setup!$G$6)))</f>
        <v>-1</v>
      </c>
      <c r="F280" s="31"/>
    </row>
    <row r="281" spans="1:6" ht="15.75" x14ac:dyDescent="0.25">
      <c r="A281"/>
      <c r="B281"/>
      <c r="C281" s="29" t="str">
        <f>IF(B281=0,"EMPTY",Setup!$D$11*((PI()*2*Setup!$B$22*A281*B281)/33000))</f>
        <v>EMPTY</v>
      </c>
      <c r="D281" s="30" t="str">
        <f>IF(Setup!$H$2=0,"EMPTY",IF(B281=0,"EMPTY",B281*Setup!$B$22*Setup!$G$6*Setup!$D$11))</f>
        <v>EMPTY</v>
      </c>
      <c r="E281" s="31">
        <f>IF(Setup!$H$2=0,-1,IF(A281=0,-1,A281*1/(Setup!$G$6)))</f>
        <v>-1</v>
      </c>
      <c r="F281" s="31"/>
    </row>
    <row r="282" spans="1:6" ht="15.75" x14ac:dyDescent="0.25">
      <c r="A282"/>
      <c r="B282"/>
      <c r="C282" s="29" t="str">
        <f>IF(B282=0,"EMPTY",Setup!$D$11*((PI()*2*Setup!$B$22*A282*B282)/33000))</f>
        <v>EMPTY</v>
      </c>
      <c r="D282" s="30" t="str">
        <f>IF(Setup!$H$2=0,"EMPTY",IF(B282=0,"EMPTY",B282*Setup!$B$22*Setup!$G$6*Setup!$D$11))</f>
        <v>EMPTY</v>
      </c>
      <c r="E282" s="31">
        <f>IF(Setup!$H$2=0,-1,IF(A282=0,-1,A282*1/(Setup!$G$6)))</f>
        <v>-1</v>
      </c>
      <c r="F282" s="31"/>
    </row>
    <row r="283" spans="1:6" ht="15.75" x14ac:dyDescent="0.25">
      <c r="A283"/>
      <c r="B283"/>
      <c r="C283" s="29" t="str">
        <f>IF(B283=0,"EMPTY",Setup!$D$11*((PI()*2*Setup!$B$22*A283*B283)/33000))</f>
        <v>EMPTY</v>
      </c>
      <c r="D283" s="30" t="str">
        <f>IF(Setup!$H$2=0,"EMPTY",IF(B283=0,"EMPTY",B283*Setup!$B$22*Setup!$G$6*Setup!$D$11))</f>
        <v>EMPTY</v>
      </c>
      <c r="E283" s="31">
        <f>IF(Setup!$H$2=0,-1,IF(A283=0,-1,A283*1/(Setup!$G$6)))</f>
        <v>-1</v>
      </c>
      <c r="F283" s="31"/>
    </row>
    <row r="284" spans="1:6" ht="15.75" x14ac:dyDescent="0.25">
      <c r="A284"/>
      <c r="B284"/>
      <c r="C284" s="29" t="str">
        <f>IF(B284=0,"EMPTY",Setup!$D$11*((PI()*2*Setup!$B$22*A284*B284)/33000))</f>
        <v>EMPTY</v>
      </c>
      <c r="D284" s="30" t="str">
        <f>IF(Setup!$H$2=0,"EMPTY",IF(B284=0,"EMPTY",B284*Setup!$B$22*Setup!$G$6*Setup!$D$11))</f>
        <v>EMPTY</v>
      </c>
      <c r="E284" s="31">
        <f>IF(Setup!$H$2=0,-1,IF(A284=0,-1,A284*1/(Setup!$G$6)))</f>
        <v>-1</v>
      </c>
      <c r="F284" s="31"/>
    </row>
    <row r="285" spans="1:6" ht="15.75" x14ac:dyDescent="0.25">
      <c r="A285"/>
      <c r="B285"/>
      <c r="C285" s="29" t="str">
        <f>IF(B285=0,"EMPTY",Setup!$D$11*((PI()*2*Setup!$B$22*A285*B285)/33000))</f>
        <v>EMPTY</v>
      </c>
      <c r="D285" s="30" t="str">
        <f>IF(Setup!$H$2=0,"EMPTY",IF(B285=0,"EMPTY",B285*Setup!$B$22*Setup!$G$6*Setup!$D$11))</f>
        <v>EMPTY</v>
      </c>
      <c r="E285" s="31">
        <f>IF(Setup!$H$2=0,-1,IF(A285=0,-1,A285*1/(Setup!$G$6)))</f>
        <v>-1</v>
      </c>
      <c r="F285" s="31"/>
    </row>
    <row r="286" spans="1:6" ht="15.75" x14ac:dyDescent="0.25">
      <c r="A286"/>
      <c r="B286"/>
      <c r="C286" s="29" t="str">
        <f>IF(B286=0,"EMPTY",Setup!$D$11*((PI()*2*Setup!$B$22*A286*B286)/33000))</f>
        <v>EMPTY</v>
      </c>
      <c r="D286" s="30" t="str">
        <f>IF(Setup!$H$2=0,"EMPTY",IF(B286=0,"EMPTY",B286*Setup!$B$22*Setup!$G$6*Setup!$D$11))</f>
        <v>EMPTY</v>
      </c>
      <c r="E286" s="31">
        <f>IF(Setup!$H$2=0,-1,IF(A286=0,-1,A286*1/(Setup!$G$6)))</f>
        <v>-1</v>
      </c>
      <c r="F286" s="31"/>
    </row>
    <row r="287" spans="1:6" ht="15.75" x14ac:dyDescent="0.25">
      <c r="A287"/>
      <c r="B287"/>
      <c r="C287" s="29" t="str">
        <f>IF(B287=0,"EMPTY",Setup!$D$11*((PI()*2*Setup!$B$22*A287*B287)/33000))</f>
        <v>EMPTY</v>
      </c>
      <c r="D287" s="30" t="str">
        <f>IF(Setup!$H$2=0,"EMPTY",IF(B287=0,"EMPTY",B287*Setup!$B$22*Setup!$G$6*Setup!$D$11))</f>
        <v>EMPTY</v>
      </c>
      <c r="E287" s="31">
        <f>IF(Setup!$H$2=0,-1,IF(A287=0,-1,A287*1/(Setup!$G$6)))</f>
        <v>-1</v>
      </c>
      <c r="F287" s="31"/>
    </row>
    <row r="288" spans="1:6" ht="15.75" x14ac:dyDescent="0.25">
      <c r="A288"/>
      <c r="B288"/>
      <c r="C288" s="29" t="str">
        <f>IF(B288=0,"EMPTY",Setup!$D$11*((PI()*2*Setup!$B$22*A288*B288)/33000))</f>
        <v>EMPTY</v>
      </c>
      <c r="D288" s="30" t="str">
        <f>IF(Setup!$H$2=0,"EMPTY",IF(B288=0,"EMPTY",B288*Setup!$B$22*Setup!$G$6*Setup!$D$11))</f>
        <v>EMPTY</v>
      </c>
      <c r="E288" s="31">
        <f>IF(Setup!$H$2=0,-1,IF(A288=0,-1,A288*1/(Setup!$G$6)))</f>
        <v>-1</v>
      </c>
      <c r="F288" s="31"/>
    </row>
    <row r="289" spans="1:6" ht="15.75" x14ac:dyDescent="0.25">
      <c r="A289"/>
      <c r="B289"/>
      <c r="C289" s="29" t="str">
        <f>IF(B289=0,"EMPTY",Setup!$D$11*((PI()*2*Setup!$B$22*A289*B289)/33000))</f>
        <v>EMPTY</v>
      </c>
      <c r="D289" s="30" t="str">
        <f>IF(Setup!$H$2=0,"EMPTY",IF(B289=0,"EMPTY",B289*Setup!$B$22*Setup!$G$6*Setup!$D$11))</f>
        <v>EMPTY</v>
      </c>
      <c r="E289" s="31">
        <f>IF(Setup!$H$2=0,-1,IF(A289=0,-1,A289*1/(Setup!$G$6)))</f>
        <v>-1</v>
      </c>
      <c r="F289" s="31"/>
    </row>
    <row r="290" spans="1:6" ht="15.75" x14ac:dyDescent="0.25">
      <c r="A290"/>
      <c r="B290"/>
      <c r="C290" s="29" t="str">
        <f>IF(B290=0,"EMPTY",Setup!$D$11*((PI()*2*Setup!$B$22*A290*B290)/33000))</f>
        <v>EMPTY</v>
      </c>
      <c r="D290" s="30" t="str">
        <f>IF(Setup!$H$2=0,"EMPTY",IF(B290=0,"EMPTY",B290*Setup!$B$22*Setup!$G$6*Setup!$D$11))</f>
        <v>EMPTY</v>
      </c>
      <c r="E290" s="31">
        <f>IF(Setup!$H$2=0,-1,IF(A290=0,-1,A290*1/(Setup!$G$6)))</f>
        <v>-1</v>
      </c>
      <c r="F290" s="31"/>
    </row>
    <row r="291" spans="1:6" ht="15.75" x14ac:dyDescent="0.25">
      <c r="A291"/>
      <c r="B291"/>
      <c r="C291" s="29" t="str">
        <f>IF(B291=0,"EMPTY",Setup!$D$11*((PI()*2*Setup!$B$22*A291*B291)/33000))</f>
        <v>EMPTY</v>
      </c>
      <c r="D291" s="30" t="str">
        <f>IF(Setup!$H$2=0,"EMPTY",IF(B291=0,"EMPTY",B291*Setup!$B$22*Setup!$G$6*Setup!$D$11))</f>
        <v>EMPTY</v>
      </c>
      <c r="E291" s="31">
        <f>IF(Setup!$H$2=0,-1,IF(A291=0,-1,A291*1/(Setup!$G$6)))</f>
        <v>-1</v>
      </c>
      <c r="F291" s="31"/>
    </row>
    <row r="292" spans="1:6" ht="15.75" x14ac:dyDescent="0.25">
      <c r="A292"/>
      <c r="B292"/>
      <c r="C292" s="29" t="str">
        <f>IF(B292=0,"EMPTY",Setup!$D$11*((PI()*2*Setup!$B$22*A292*B292)/33000))</f>
        <v>EMPTY</v>
      </c>
      <c r="D292" s="30" t="str">
        <f>IF(Setup!$H$2=0,"EMPTY",IF(B292=0,"EMPTY",B292*Setup!$B$22*Setup!$G$6*Setup!$D$11))</f>
        <v>EMPTY</v>
      </c>
      <c r="E292" s="31">
        <f>IF(Setup!$H$2=0,-1,IF(A292=0,-1,A292*1/(Setup!$G$6)))</f>
        <v>-1</v>
      </c>
      <c r="F292" s="31"/>
    </row>
    <row r="293" spans="1:6" ht="15.75" x14ac:dyDescent="0.25">
      <c r="A293"/>
      <c r="B293"/>
      <c r="C293" s="29" t="str">
        <f>IF(B293=0,"EMPTY",Setup!$D$11*((PI()*2*Setup!$B$22*A293*B293)/33000))</f>
        <v>EMPTY</v>
      </c>
      <c r="D293" s="30" t="str">
        <f>IF(Setup!$H$2=0,"EMPTY",IF(B293=0,"EMPTY",B293*Setup!$B$22*Setup!$G$6*Setup!$D$11))</f>
        <v>EMPTY</v>
      </c>
      <c r="E293" s="31">
        <f>IF(Setup!$H$2=0,-1,IF(A293=0,-1,A293*1/(Setup!$G$6)))</f>
        <v>-1</v>
      </c>
      <c r="F293" s="31"/>
    </row>
    <row r="294" spans="1:6" ht="15.75" x14ac:dyDescent="0.25">
      <c r="A294"/>
      <c r="B294"/>
      <c r="C294" s="29" t="str">
        <f>IF(B294=0,"EMPTY",Setup!$D$11*((PI()*2*Setup!$B$22*A294*B294)/33000))</f>
        <v>EMPTY</v>
      </c>
      <c r="D294" s="30" t="str">
        <f>IF(Setup!$H$2=0,"EMPTY",IF(B294=0,"EMPTY",B294*Setup!$B$22*Setup!$G$6*Setup!$D$11))</f>
        <v>EMPTY</v>
      </c>
      <c r="E294" s="31">
        <f>IF(Setup!$H$2=0,-1,IF(A294=0,-1,A294*1/(Setup!$G$6)))</f>
        <v>-1</v>
      </c>
      <c r="F294" s="31"/>
    </row>
    <row r="295" spans="1:6" ht="15.75" x14ac:dyDescent="0.25">
      <c r="A295"/>
      <c r="B295"/>
      <c r="C295" s="29" t="str">
        <f>IF(B295=0,"EMPTY",Setup!$D$11*((PI()*2*Setup!$B$22*A295*B295)/33000))</f>
        <v>EMPTY</v>
      </c>
      <c r="D295" s="30" t="str">
        <f>IF(Setup!$H$2=0,"EMPTY",IF(B295=0,"EMPTY",B295*Setup!$B$22*Setup!$G$6*Setup!$D$11))</f>
        <v>EMPTY</v>
      </c>
      <c r="E295" s="31">
        <f>IF(Setup!$H$2=0,-1,IF(A295=0,-1,A295*1/(Setup!$G$6)))</f>
        <v>-1</v>
      </c>
      <c r="F295" s="31"/>
    </row>
    <row r="296" spans="1:6" ht="15.75" x14ac:dyDescent="0.25">
      <c r="A296"/>
      <c r="B296"/>
      <c r="C296" s="29" t="str">
        <f>IF(B296=0,"EMPTY",Setup!$D$11*((PI()*2*Setup!$B$22*A296*B296)/33000))</f>
        <v>EMPTY</v>
      </c>
      <c r="D296" s="30" t="str">
        <f>IF(Setup!$H$2=0,"EMPTY",IF(B296=0,"EMPTY",B296*Setup!$B$22*Setup!$G$6*Setup!$D$11))</f>
        <v>EMPTY</v>
      </c>
      <c r="E296" s="31">
        <f>IF(Setup!$H$2=0,-1,IF(A296=0,-1,A296*1/(Setup!$G$6)))</f>
        <v>-1</v>
      </c>
      <c r="F296" s="31"/>
    </row>
    <row r="297" spans="1:6" ht="15.75" x14ac:dyDescent="0.25">
      <c r="A297"/>
      <c r="B297"/>
      <c r="C297" s="29" t="str">
        <f>IF(B297=0,"EMPTY",Setup!$D$11*((PI()*2*Setup!$B$22*A297*B297)/33000))</f>
        <v>EMPTY</v>
      </c>
      <c r="D297" s="30" t="str">
        <f>IF(Setup!$H$2=0,"EMPTY",IF(B297=0,"EMPTY",B297*Setup!$B$22*Setup!$G$6*Setup!$D$11))</f>
        <v>EMPTY</v>
      </c>
      <c r="E297" s="31">
        <f>IF(Setup!$H$2=0,-1,IF(A297=0,-1,A297*1/(Setup!$G$6)))</f>
        <v>-1</v>
      </c>
      <c r="F297" s="31"/>
    </row>
    <row r="298" spans="1:6" ht="15.75" x14ac:dyDescent="0.25">
      <c r="A298"/>
      <c r="B298"/>
      <c r="C298" s="29" t="str">
        <f>IF(B298=0,"EMPTY",Setup!$D$11*((PI()*2*Setup!$B$22*A298*B298)/33000))</f>
        <v>EMPTY</v>
      </c>
      <c r="D298" s="30" t="str">
        <f>IF(Setup!$H$2=0,"EMPTY",IF(B298=0,"EMPTY",B298*Setup!$B$22*Setup!$G$6*Setup!$D$11))</f>
        <v>EMPTY</v>
      </c>
      <c r="E298" s="31">
        <f>IF(Setup!$H$2=0,-1,IF(A298=0,-1,A298*1/(Setup!$G$6)))</f>
        <v>-1</v>
      </c>
      <c r="F298" s="31"/>
    </row>
    <row r="299" spans="1:6" ht="15.75" x14ac:dyDescent="0.25">
      <c r="A299"/>
      <c r="B299"/>
      <c r="C299" s="29" t="str">
        <f>IF(B299=0,"EMPTY",Setup!$D$11*((PI()*2*Setup!$B$22*A299*B299)/33000))</f>
        <v>EMPTY</v>
      </c>
      <c r="D299" s="30" t="str">
        <f>IF(Setup!$H$2=0,"EMPTY",IF(B299=0,"EMPTY",B299*Setup!$B$22*Setup!$G$6*Setup!$D$11))</f>
        <v>EMPTY</v>
      </c>
      <c r="E299" s="31">
        <f>IF(Setup!$H$2=0,-1,IF(A299=0,-1,A299*1/(Setup!$G$6)))</f>
        <v>-1</v>
      </c>
      <c r="F299" s="31"/>
    </row>
    <row r="300" spans="1:6" ht="15.75" x14ac:dyDescent="0.25">
      <c r="A300"/>
      <c r="B300"/>
      <c r="C300" s="29" t="str">
        <f>IF(B300=0,"EMPTY",Setup!$D$11*((PI()*2*Setup!$B$22*A300*B300)/33000))</f>
        <v>EMPTY</v>
      </c>
      <c r="D300" s="30" t="str">
        <f>IF(Setup!$H$2=0,"EMPTY",IF(B300=0,"EMPTY",B300*Setup!$B$22*Setup!$G$6*Setup!$D$11))</f>
        <v>EMPTY</v>
      </c>
      <c r="E300" s="31">
        <f>IF(Setup!$H$2=0,-1,IF(A300=0,-1,A300*1/(Setup!$G$6)))</f>
        <v>-1</v>
      </c>
      <c r="F300" s="31"/>
    </row>
    <row r="301" spans="1:6" ht="15.75" x14ac:dyDescent="0.25">
      <c r="A301"/>
      <c r="B301"/>
      <c r="C301" s="29" t="str">
        <f>IF(B301=0,"EMPTY",Setup!$D$11*((PI()*2*Setup!$B$22*A301*B301)/33000))</f>
        <v>EMPTY</v>
      </c>
      <c r="D301" s="30" t="str">
        <f>IF(Setup!$H$2=0,"EMPTY",IF(B301=0,"EMPTY",B301*Setup!$B$22*Setup!$G$6*Setup!$D$11))</f>
        <v>EMPTY</v>
      </c>
      <c r="E301" s="31">
        <f>IF(Setup!$H$2=0,-1,IF(A301=0,-1,A301*1/(Setup!$G$6)))</f>
        <v>-1</v>
      </c>
      <c r="F301" s="31"/>
    </row>
    <row r="302" spans="1:6" ht="15.75" x14ac:dyDescent="0.25">
      <c r="A302"/>
      <c r="B302"/>
      <c r="C302" s="29" t="str">
        <f>IF(B302=0,"EMPTY",Setup!$D$11*((PI()*2*Setup!$B$22*A302*B302)/33000))</f>
        <v>EMPTY</v>
      </c>
      <c r="D302" s="30" t="str">
        <f>IF(Setup!$H$2=0,"EMPTY",IF(B302=0,"EMPTY",B302*Setup!$B$22*Setup!$G$6*Setup!$D$11))</f>
        <v>EMPTY</v>
      </c>
      <c r="E302" s="31">
        <f>IF(Setup!$H$2=0,-1,IF(A302=0,-1,A302*1/(Setup!$G$6)))</f>
        <v>-1</v>
      </c>
      <c r="F302" s="31"/>
    </row>
    <row r="303" spans="1:6" ht="15.75" x14ac:dyDescent="0.25">
      <c r="A303"/>
      <c r="B303"/>
      <c r="C303" s="29" t="str">
        <f>IF(B303=0,"EMPTY",Setup!$D$11*((PI()*2*Setup!$B$22*A303*B303)/33000))</f>
        <v>EMPTY</v>
      </c>
      <c r="D303" s="30" t="str">
        <f>IF(Setup!$H$2=0,"EMPTY",IF(B303=0,"EMPTY",B303*Setup!$B$22*Setup!$G$6*Setup!$D$11))</f>
        <v>EMPTY</v>
      </c>
      <c r="E303" s="31">
        <f>IF(Setup!$H$2=0,-1,IF(A303=0,-1,A303*1/(Setup!$G$6)))</f>
        <v>-1</v>
      </c>
      <c r="F303" s="31"/>
    </row>
    <row r="304" spans="1:6" ht="15.75" x14ac:dyDescent="0.25">
      <c r="A304"/>
      <c r="B304"/>
      <c r="C304" s="29" t="str">
        <f>IF(B304=0,"EMPTY",Setup!$D$11*((PI()*2*Setup!$B$22*A304*B304)/33000))</f>
        <v>EMPTY</v>
      </c>
      <c r="D304" s="30" t="str">
        <f>IF(Setup!$H$2=0,"EMPTY",IF(B304=0,"EMPTY",B304*Setup!$B$22*Setup!$G$6*Setup!$D$11))</f>
        <v>EMPTY</v>
      </c>
      <c r="E304" s="31">
        <f>IF(Setup!$H$2=0,-1,IF(A304=0,-1,A304*1/(Setup!$G$6)))</f>
        <v>-1</v>
      </c>
      <c r="F304" s="31"/>
    </row>
    <row r="305" spans="1:6" ht="15.75" x14ac:dyDescent="0.25">
      <c r="A305"/>
      <c r="B305"/>
      <c r="C305" s="29" t="str">
        <f>IF(B305=0,"EMPTY",Setup!$D$11*((PI()*2*Setup!$B$22*A305*B305)/33000))</f>
        <v>EMPTY</v>
      </c>
      <c r="D305" s="30" t="str">
        <f>IF(Setup!$H$2=0,"EMPTY",IF(B305=0,"EMPTY",B305*Setup!$B$22*Setup!$G$6*Setup!$D$11))</f>
        <v>EMPTY</v>
      </c>
      <c r="E305" s="31">
        <f>IF(Setup!$H$2=0,-1,IF(A305=0,-1,A305*1/(Setup!$G$6)))</f>
        <v>-1</v>
      </c>
      <c r="F305" s="31"/>
    </row>
    <row r="306" spans="1:6" ht="15.75" x14ac:dyDescent="0.25">
      <c r="A306"/>
      <c r="B306"/>
      <c r="C306" s="29" t="str">
        <f>IF(B306=0,"EMPTY",Setup!$D$11*((PI()*2*Setup!$B$22*A306*B306)/33000))</f>
        <v>EMPTY</v>
      </c>
      <c r="D306" s="30" t="str">
        <f>IF(Setup!$H$2=0,"EMPTY",IF(B306=0,"EMPTY",B306*Setup!$B$22*Setup!$G$6*Setup!$D$11))</f>
        <v>EMPTY</v>
      </c>
      <c r="E306" s="31">
        <f>IF(Setup!$H$2=0,-1,IF(A306=0,-1,A306*1/(Setup!$G$6)))</f>
        <v>-1</v>
      </c>
      <c r="F306" s="31"/>
    </row>
    <row r="307" spans="1:6" ht="15.75" x14ac:dyDescent="0.25">
      <c r="A307"/>
      <c r="B307"/>
      <c r="C307" s="29" t="str">
        <f>IF(B307=0,"EMPTY",Setup!$D$11*((PI()*2*Setup!$B$22*A307*B307)/33000))</f>
        <v>EMPTY</v>
      </c>
      <c r="D307" s="30" t="str">
        <f>IF(Setup!$H$2=0,"EMPTY",IF(B307=0,"EMPTY",B307*Setup!$B$22*Setup!$G$6*Setup!$D$11))</f>
        <v>EMPTY</v>
      </c>
      <c r="E307" s="31">
        <f>IF(Setup!$H$2=0,-1,IF(A307=0,-1,A307*1/(Setup!$G$6)))</f>
        <v>-1</v>
      </c>
      <c r="F307" s="31"/>
    </row>
    <row r="308" spans="1:6" ht="15.75" x14ac:dyDescent="0.25">
      <c r="A308"/>
      <c r="B308"/>
      <c r="C308" s="29" t="str">
        <f>IF(B308=0,"EMPTY",Setup!$D$11*((PI()*2*Setup!$B$22*A308*B308)/33000))</f>
        <v>EMPTY</v>
      </c>
      <c r="D308" s="30" t="str">
        <f>IF(Setup!$H$2=0,"EMPTY",IF(B308=0,"EMPTY",B308*Setup!$B$22*Setup!$G$6*Setup!$D$11))</f>
        <v>EMPTY</v>
      </c>
      <c r="E308" s="31">
        <f>IF(Setup!$H$2=0,-1,IF(A308=0,-1,A308*1/(Setup!$G$6)))</f>
        <v>-1</v>
      </c>
      <c r="F308" s="31"/>
    </row>
    <row r="309" spans="1:6" ht="15.75" x14ac:dyDescent="0.25">
      <c r="A309"/>
      <c r="B309"/>
      <c r="C309" s="29" t="str">
        <f>IF(B309=0,"EMPTY",Setup!$D$11*((PI()*2*Setup!$B$22*A309*B309)/33000))</f>
        <v>EMPTY</v>
      </c>
      <c r="D309" s="30" t="str">
        <f>IF(Setup!$H$2=0,"EMPTY",IF(B309=0,"EMPTY",B309*Setup!$B$22*Setup!$G$6*Setup!$D$11))</f>
        <v>EMPTY</v>
      </c>
      <c r="E309" s="31">
        <f>IF(Setup!$H$2=0,-1,IF(A309=0,-1,A309*1/(Setup!$G$6)))</f>
        <v>-1</v>
      </c>
      <c r="F309" s="31"/>
    </row>
    <row r="310" spans="1:6" ht="15.75" x14ac:dyDescent="0.25">
      <c r="A310"/>
      <c r="B310"/>
      <c r="C310" s="29" t="str">
        <f>IF(B310=0,"EMPTY",Setup!$D$11*((PI()*2*Setup!$B$22*A310*B310)/33000))</f>
        <v>EMPTY</v>
      </c>
      <c r="D310" s="30" t="str">
        <f>IF(Setup!$H$2=0,"EMPTY",IF(B310=0,"EMPTY",B310*Setup!$B$22*Setup!$G$6*Setup!$D$11))</f>
        <v>EMPTY</v>
      </c>
      <c r="E310" s="31">
        <f>IF(Setup!$H$2=0,-1,IF(A310=0,-1,A310*1/(Setup!$G$6)))</f>
        <v>-1</v>
      </c>
      <c r="F310" s="31"/>
    </row>
    <row r="311" spans="1:6" ht="15.75" x14ac:dyDescent="0.25">
      <c r="A311"/>
      <c r="B311"/>
      <c r="C311" s="29" t="str">
        <f>IF(B311=0,"EMPTY",Setup!$D$11*((PI()*2*Setup!$B$22*A311*B311)/33000))</f>
        <v>EMPTY</v>
      </c>
      <c r="D311" s="30" t="str">
        <f>IF(Setup!$H$2=0,"EMPTY",IF(B311=0,"EMPTY",B311*Setup!$B$22*Setup!$G$6*Setup!$D$11))</f>
        <v>EMPTY</v>
      </c>
      <c r="E311" s="31">
        <f>IF(Setup!$H$2=0,-1,IF(A311=0,-1,A311*1/(Setup!$G$6)))</f>
        <v>-1</v>
      </c>
      <c r="F311" s="31"/>
    </row>
    <row r="312" spans="1:6" ht="15.75" x14ac:dyDescent="0.25">
      <c r="A312"/>
      <c r="B312"/>
      <c r="C312" s="29" t="str">
        <f>IF(B312=0,"EMPTY",Setup!$D$11*((PI()*2*Setup!$B$22*A312*B312)/33000))</f>
        <v>EMPTY</v>
      </c>
      <c r="D312" s="30" t="str">
        <f>IF(Setup!$H$2=0,"EMPTY",IF(B312=0,"EMPTY",B312*Setup!$B$22*Setup!$G$6*Setup!$D$11))</f>
        <v>EMPTY</v>
      </c>
      <c r="E312" s="31">
        <f>IF(Setup!$H$2=0,-1,IF(A312=0,-1,A312*1/(Setup!$G$6)))</f>
        <v>-1</v>
      </c>
      <c r="F312" s="31"/>
    </row>
    <row r="313" spans="1:6" ht="15.75" x14ac:dyDescent="0.25">
      <c r="A313"/>
      <c r="B313"/>
      <c r="C313" s="29" t="str">
        <f>IF(B313=0,"EMPTY",Setup!$D$11*((PI()*2*Setup!$B$22*A313*B313)/33000))</f>
        <v>EMPTY</v>
      </c>
      <c r="D313" s="30" t="str">
        <f>IF(Setup!$H$2=0,"EMPTY",IF(B313=0,"EMPTY",B313*Setup!$B$22*Setup!$G$6*Setup!$D$11))</f>
        <v>EMPTY</v>
      </c>
      <c r="E313" s="31">
        <f>IF(Setup!$H$2=0,-1,IF(A313=0,-1,A313*1/(Setup!$G$6)))</f>
        <v>-1</v>
      </c>
      <c r="F313" s="31"/>
    </row>
    <row r="314" spans="1:6" ht="15.75" x14ac:dyDescent="0.25">
      <c r="A314"/>
      <c r="B314"/>
      <c r="C314" s="29" t="str">
        <f>IF(B314=0,"EMPTY",Setup!$D$11*((PI()*2*Setup!$B$22*A314*B314)/33000))</f>
        <v>EMPTY</v>
      </c>
      <c r="D314" s="30" t="str">
        <f>IF(Setup!$H$2=0,"EMPTY",IF(B314=0,"EMPTY",B314*Setup!$B$22*Setup!$G$6*Setup!$D$11))</f>
        <v>EMPTY</v>
      </c>
      <c r="E314" s="31">
        <f>IF(Setup!$H$2=0,-1,IF(A314=0,-1,A314*1/(Setup!$G$6)))</f>
        <v>-1</v>
      </c>
      <c r="F314" s="31"/>
    </row>
    <row r="315" spans="1:6" ht="15.75" x14ac:dyDescent="0.25">
      <c r="A315"/>
      <c r="B315"/>
      <c r="C315" s="29" t="str">
        <f>IF(B315=0,"EMPTY",Setup!$D$11*((PI()*2*Setup!$B$22*A315*B315)/33000))</f>
        <v>EMPTY</v>
      </c>
      <c r="D315" s="30" t="str">
        <f>IF(Setup!$H$2=0,"EMPTY",IF(B315=0,"EMPTY",B315*Setup!$B$22*Setup!$G$6*Setup!$D$11))</f>
        <v>EMPTY</v>
      </c>
      <c r="E315" s="31">
        <f>IF(Setup!$H$2=0,-1,IF(A315=0,-1,A315*1/(Setup!$G$6)))</f>
        <v>-1</v>
      </c>
      <c r="F315" s="31"/>
    </row>
    <row r="316" spans="1:6" ht="15.75" x14ac:dyDescent="0.25">
      <c r="A316"/>
      <c r="B316"/>
      <c r="C316" s="29" t="str">
        <f>IF(B316=0,"EMPTY",Setup!$D$11*((PI()*2*Setup!$B$22*A316*B316)/33000))</f>
        <v>EMPTY</v>
      </c>
      <c r="D316" s="30" t="str">
        <f>IF(Setup!$H$2=0,"EMPTY",IF(B316=0,"EMPTY",B316*Setup!$B$22*Setup!$G$6*Setup!$D$11))</f>
        <v>EMPTY</v>
      </c>
      <c r="E316" s="31">
        <f>IF(Setup!$H$2=0,-1,IF(A316=0,-1,A316*1/(Setup!$G$6)))</f>
        <v>-1</v>
      </c>
      <c r="F316" s="31"/>
    </row>
    <row r="317" spans="1:6" ht="15.75" x14ac:dyDescent="0.25">
      <c r="A317"/>
      <c r="B317"/>
      <c r="C317" s="29" t="str">
        <f>IF(B317=0,"EMPTY",Setup!$D$11*((PI()*2*Setup!$B$22*A317*B317)/33000))</f>
        <v>EMPTY</v>
      </c>
      <c r="D317" s="30" t="str">
        <f>IF(Setup!$H$2=0,"EMPTY",IF(B317=0,"EMPTY",B317*Setup!$B$22*Setup!$G$6*Setup!$D$11))</f>
        <v>EMPTY</v>
      </c>
      <c r="E317" s="31">
        <f>IF(Setup!$H$2=0,-1,IF(A317=0,-1,A317*1/(Setup!$G$6)))</f>
        <v>-1</v>
      </c>
      <c r="F317" s="31"/>
    </row>
    <row r="318" spans="1:6" ht="15.75" x14ac:dyDescent="0.25">
      <c r="A318"/>
      <c r="B318"/>
      <c r="C318" s="29" t="str">
        <f>IF(B318=0,"EMPTY",Setup!$D$11*((PI()*2*Setup!$B$22*A318*B318)/33000))</f>
        <v>EMPTY</v>
      </c>
      <c r="D318" s="30" t="str">
        <f>IF(Setup!$H$2=0,"EMPTY",IF(B318=0,"EMPTY",B318*Setup!$B$22*Setup!$G$6*Setup!$D$11))</f>
        <v>EMPTY</v>
      </c>
      <c r="E318" s="31">
        <f>IF(Setup!$H$2=0,-1,IF(A318=0,-1,A318*1/(Setup!$G$6)))</f>
        <v>-1</v>
      </c>
      <c r="F318" s="31"/>
    </row>
    <row r="319" spans="1:6" ht="15.75" x14ac:dyDescent="0.25">
      <c r="A319"/>
      <c r="B319"/>
      <c r="C319" s="29" t="str">
        <f>IF(B319=0,"EMPTY",Setup!$D$11*((PI()*2*Setup!$B$22*A319*B319)/33000))</f>
        <v>EMPTY</v>
      </c>
      <c r="D319" s="30" t="str">
        <f>IF(Setup!$H$2=0,"EMPTY",IF(B319=0,"EMPTY",B319*Setup!$B$22*Setup!$G$6*Setup!$D$11))</f>
        <v>EMPTY</v>
      </c>
      <c r="E319" s="31">
        <f>IF(Setup!$H$2=0,-1,IF(A319=0,-1,A319*1/(Setup!$G$6)))</f>
        <v>-1</v>
      </c>
      <c r="F319" s="31"/>
    </row>
    <row r="320" spans="1:6" ht="15.75" x14ac:dyDescent="0.25">
      <c r="A320"/>
      <c r="B320"/>
      <c r="C320" s="29" t="str">
        <f>IF(B320=0,"EMPTY",Setup!$D$11*((PI()*2*Setup!$B$22*A320*B320)/33000))</f>
        <v>EMPTY</v>
      </c>
      <c r="D320" s="30" t="str">
        <f>IF(Setup!$H$2=0,"EMPTY",IF(B320=0,"EMPTY",B320*Setup!$B$22*Setup!$G$6*Setup!$D$11))</f>
        <v>EMPTY</v>
      </c>
      <c r="E320" s="31">
        <f>IF(Setup!$H$2=0,-1,IF(A320=0,-1,A320*1/(Setup!$G$6)))</f>
        <v>-1</v>
      </c>
      <c r="F320" s="31"/>
    </row>
    <row r="321" spans="1:6" ht="15.75" x14ac:dyDescent="0.25">
      <c r="A321"/>
      <c r="B321"/>
      <c r="C321" s="29" t="str">
        <f>IF(B321=0,"EMPTY",Setup!$D$11*((PI()*2*Setup!$B$22*A321*B321)/33000))</f>
        <v>EMPTY</v>
      </c>
      <c r="D321" s="30" t="str">
        <f>IF(Setup!$H$2=0,"EMPTY",IF(B321=0,"EMPTY",B321*Setup!$B$22*Setup!$G$6*Setup!$D$11))</f>
        <v>EMPTY</v>
      </c>
      <c r="E321" s="31">
        <f>IF(Setup!$H$2=0,-1,IF(A321=0,-1,A321*1/(Setup!$G$6)))</f>
        <v>-1</v>
      </c>
      <c r="F321" s="31"/>
    </row>
    <row r="322" spans="1:6" ht="15.75" x14ac:dyDescent="0.25">
      <c r="A322"/>
      <c r="B322"/>
      <c r="C322" s="29" t="str">
        <f>IF(B322=0,"EMPTY",Setup!$D$11*((PI()*2*Setup!$B$22*A322*B322)/33000))</f>
        <v>EMPTY</v>
      </c>
      <c r="D322" s="30" t="str">
        <f>IF(Setup!$H$2=0,"EMPTY",IF(B322=0,"EMPTY",B322*Setup!$B$22*Setup!$G$6*Setup!$D$11))</f>
        <v>EMPTY</v>
      </c>
      <c r="E322" s="31">
        <f>IF(Setup!$H$2=0,-1,IF(A322=0,-1,A322*1/(Setup!$G$6)))</f>
        <v>-1</v>
      </c>
      <c r="F322" s="31"/>
    </row>
    <row r="323" spans="1:6" ht="15.75" x14ac:dyDescent="0.25">
      <c r="A323"/>
      <c r="B323"/>
      <c r="C323" s="29" t="str">
        <f>IF(B323=0,"EMPTY",Setup!$D$11*((PI()*2*Setup!$B$22*A323*B323)/33000))</f>
        <v>EMPTY</v>
      </c>
      <c r="D323" s="30" t="str">
        <f>IF(Setup!$H$2=0,"EMPTY",IF(B323=0,"EMPTY",B323*Setup!$B$22*Setup!$G$6*Setup!$D$11))</f>
        <v>EMPTY</v>
      </c>
      <c r="E323" s="31">
        <f>IF(Setup!$H$2=0,-1,IF(A323=0,-1,A323*1/(Setup!$G$6)))</f>
        <v>-1</v>
      </c>
      <c r="F323" s="31"/>
    </row>
    <row r="324" spans="1:6" ht="15.75" x14ac:dyDescent="0.25">
      <c r="A324"/>
      <c r="B324"/>
      <c r="C324" s="29" t="str">
        <f>IF(B324=0,"EMPTY",Setup!$D$11*((PI()*2*Setup!$B$22*A324*B324)/33000))</f>
        <v>EMPTY</v>
      </c>
      <c r="D324" s="30" t="str">
        <f>IF(Setup!$H$2=0,"EMPTY",IF(B324=0,"EMPTY",B324*Setup!$B$22*Setup!$G$6*Setup!$D$11))</f>
        <v>EMPTY</v>
      </c>
      <c r="E324" s="31">
        <f>IF(Setup!$H$2=0,-1,IF(A324=0,-1,A324*1/(Setup!$G$6)))</f>
        <v>-1</v>
      </c>
      <c r="F324" s="31"/>
    </row>
    <row r="325" spans="1:6" ht="15.75" x14ac:dyDescent="0.25">
      <c r="A325"/>
      <c r="B325"/>
      <c r="C325" s="29" t="str">
        <f>IF(B325=0,"EMPTY",Setup!$D$11*((PI()*2*Setup!$B$22*A325*B325)/33000))</f>
        <v>EMPTY</v>
      </c>
      <c r="D325" s="30" t="str">
        <f>IF(Setup!$H$2=0,"EMPTY",IF(B325=0,"EMPTY",B325*Setup!$B$22*Setup!$G$6*Setup!$D$11))</f>
        <v>EMPTY</v>
      </c>
      <c r="E325" s="31">
        <f>IF(Setup!$H$2=0,-1,IF(A325=0,-1,A325*1/(Setup!$G$6)))</f>
        <v>-1</v>
      </c>
      <c r="F325" s="31"/>
    </row>
    <row r="326" spans="1:6" ht="15.75" x14ac:dyDescent="0.25">
      <c r="A326"/>
      <c r="B326"/>
      <c r="C326" s="29" t="str">
        <f>IF(B326=0,"EMPTY",Setup!$D$11*((PI()*2*Setup!$B$22*A326*B326)/33000))</f>
        <v>EMPTY</v>
      </c>
      <c r="D326" s="30" t="str">
        <f>IF(Setup!$H$2=0,"EMPTY",IF(B326=0,"EMPTY",B326*Setup!$B$22*Setup!$G$6*Setup!$D$11))</f>
        <v>EMPTY</v>
      </c>
      <c r="E326" s="31">
        <f>IF(Setup!$H$2=0,-1,IF(A326=0,-1,A326*1/(Setup!$G$6)))</f>
        <v>-1</v>
      </c>
      <c r="F326" s="31"/>
    </row>
    <row r="327" spans="1:6" ht="15.75" x14ac:dyDescent="0.25">
      <c r="A327"/>
      <c r="B327"/>
      <c r="C327" s="29" t="str">
        <f>IF(B327=0,"EMPTY",Setup!$D$11*((PI()*2*Setup!$B$22*A327*B327)/33000))</f>
        <v>EMPTY</v>
      </c>
      <c r="D327" s="30" t="str">
        <f>IF(Setup!$H$2=0,"EMPTY",IF(B327=0,"EMPTY",B327*Setup!$B$22*Setup!$G$6*Setup!$D$11))</f>
        <v>EMPTY</v>
      </c>
      <c r="E327" s="31">
        <f>IF(Setup!$H$2=0,-1,IF(A327=0,-1,A327*1/(Setup!$G$6)))</f>
        <v>-1</v>
      </c>
      <c r="F327" s="31"/>
    </row>
    <row r="328" spans="1:6" ht="15.75" x14ac:dyDescent="0.25">
      <c r="A328"/>
      <c r="B328"/>
      <c r="C328" s="29" t="str">
        <f>IF(B328=0,"EMPTY",Setup!$D$11*((PI()*2*Setup!$B$22*A328*B328)/33000))</f>
        <v>EMPTY</v>
      </c>
      <c r="D328" s="30" t="str">
        <f>IF(Setup!$H$2=0,"EMPTY",IF(B328=0,"EMPTY",B328*Setup!$B$22*Setup!$G$6*Setup!$D$11))</f>
        <v>EMPTY</v>
      </c>
      <c r="E328" s="31">
        <f>IF(Setup!$H$2=0,-1,IF(A328=0,-1,A328*1/(Setup!$G$6)))</f>
        <v>-1</v>
      </c>
      <c r="F328" s="31"/>
    </row>
    <row r="329" spans="1:6" ht="15.75" x14ac:dyDescent="0.25">
      <c r="A329"/>
      <c r="B329"/>
      <c r="C329" s="29" t="str">
        <f>IF(B329=0,"EMPTY",Setup!$D$11*((PI()*2*Setup!$B$22*A329*B329)/33000))</f>
        <v>EMPTY</v>
      </c>
      <c r="D329" s="30" t="str">
        <f>IF(Setup!$H$2=0,"EMPTY",IF(B329=0,"EMPTY",B329*Setup!$B$22*Setup!$G$6*Setup!$D$11))</f>
        <v>EMPTY</v>
      </c>
      <c r="E329" s="31">
        <f>IF(Setup!$H$2=0,-1,IF(A329=0,-1,A329*1/(Setup!$G$6)))</f>
        <v>-1</v>
      </c>
      <c r="F329" s="31"/>
    </row>
    <row r="330" spans="1:6" ht="15.75" x14ac:dyDescent="0.25">
      <c r="A330"/>
      <c r="B330"/>
      <c r="C330" s="29" t="str">
        <f>IF(B330=0,"EMPTY",Setup!$D$11*((PI()*2*Setup!$B$22*A330*B330)/33000))</f>
        <v>EMPTY</v>
      </c>
      <c r="D330" s="30" t="str">
        <f>IF(Setup!$H$2=0,"EMPTY",IF(B330=0,"EMPTY",B330*Setup!$B$22*Setup!$G$6*Setup!$D$11))</f>
        <v>EMPTY</v>
      </c>
      <c r="E330" s="31">
        <f>IF(Setup!$H$2=0,-1,IF(A330=0,-1,A330*1/(Setup!$G$6)))</f>
        <v>-1</v>
      </c>
      <c r="F330" s="31"/>
    </row>
    <row r="331" spans="1:6" ht="15.75" x14ac:dyDescent="0.25">
      <c r="A331"/>
      <c r="B331"/>
      <c r="C331" s="29" t="str">
        <f>IF(B331=0,"EMPTY",Setup!$D$11*((PI()*2*Setup!$B$22*A331*B331)/33000))</f>
        <v>EMPTY</v>
      </c>
      <c r="D331" s="30" t="str">
        <f>IF(Setup!$H$2=0,"EMPTY",IF(B331=0,"EMPTY",B331*Setup!$B$22*Setup!$G$6*Setup!$D$11))</f>
        <v>EMPTY</v>
      </c>
      <c r="E331" s="31">
        <f>IF(Setup!$H$2=0,-1,IF(A331=0,-1,A331*1/(Setup!$G$6)))</f>
        <v>-1</v>
      </c>
      <c r="F331" s="31"/>
    </row>
    <row r="332" spans="1:6" ht="15.75" x14ac:dyDescent="0.25">
      <c r="A332"/>
      <c r="B332"/>
      <c r="C332" s="29" t="str">
        <f>IF(B332=0,"EMPTY",Setup!$D$11*((PI()*2*Setup!$B$22*A332*B332)/33000))</f>
        <v>EMPTY</v>
      </c>
      <c r="D332" s="30" t="str">
        <f>IF(Setup!$H$2=0,"EMPTY",IF(B332=0,"EMPTY",B332*Setup!$B$22*Setup!$G$6*Setup!$D$11))</f>
        <v>EMPTY</v>
      </c>
      <c r="E332" s="31">
        <f>IF(Setup!$H$2=0,-1,IF(A332=0,-1,A332*1/(Setup!$G$6)))</f>
        <v>-1</v>
      </c>
      <c r="F332" s="31"/>
    </row>
    <row r="333" spans="1:6" ht="15.75" x14ac:dyDescent="0.25">
      <c r="A333"/>
      <c r="B333"/>
      <c r="C333" s="29" t="str">
        <f>IF(B333=0,"EMPTY",Setup!$D$11*((PI()*2*Setup!$B$22*A333*B333)/33000))</f>
        <v>EMPTY</v>
      </c>
      <c r="D333" s="30" t="str">
        <f>IF(Setup!$H$2=0,"EMPTY",IF(B333=0,"EMPTY",B333*Setup!$B$22*Setup!$G$6*Setup!$D$11))</f>
        <v>EMPTY</v>
      </c>
      <c r="E333" s="31">
        <f>IF(Setup!$H$2=0,-1,IF(A333=0,-1,A333*1/(Setup!$G$6)))</f>
        <v>-1</v>
      </c>
      <c r="F333" s="31"/>
    </row>
    <row r="334" spans="1:6" ht="15.75" x14ac:dyDescent="0.25">
      <c r="A334"/>
      <c r="B334"/>
      <c r="C334" s="29" t="str">
        <f>IF(B334=0,"EMPTY",Setup!$D$11*((PI()*2*Setup!$B$22*A334*B334)/33000))</f>
        <v>EMPTY</v>
      </c>
      <c r="D334" s="30" t="str">
        <f>IF(Setup!$H$2=0,"EMPTY",IF(B334=0,"EMPTY",B334*Setup!$B$22*Setup!$G$6*Setup!$D$11))</f>
        <v>EMPTY</v>
      </c>
      <c r="E334" s="31">
        <f>IF(Setup!$H$2=0,-1,IF(A334=0,-1,A334*1/(Setup!$G$6)))</f>
        <v>-1</v>
      </c>
      <c r="F334" s="31"/>
    </row>
    <row r="335" spans="1:6" ht="15.75" x14ac:dyDescent="0.25">
      <c r="A335"/>
      <c r="B335"/>
      <c r="C335" s="29" t="str">
        <f>IF(B335=0,"EMPTY",Setup!$D$11*((PI()*2*Setup!$B$22*A335*B335)/33000))</f>
        <v>EMPTY</v>
      </c>
      <c r="D335" s="30" t="str">
        <f>IF(Setup!$H$2=0,"EMPTY",IF(B335=0,"EMPTY",B335*Setup!$B$22*Setup!$G$6*Setup!$D$11))</f>
        <v>EMPTY</v>
      </c>
      <c r="E335" s="31">
        <f>IF(Setup!$H$2=0,-1,IF(A335=0,-1,A335*1/(Setup!$G$6)))</f>
        <v>-1</v>
      </c>
      <c r="F335" s="31"/>
    </row>
    <row r="336" spans="1:6" ht="15.75" x14ac:dyDescent="0.25">
      <c r="A336"/>
      <c r="B336"/>
      <c r="C336" s="29" t="str">
        <f>IF(B336=0,"EMPTY",Setup!$D$11*((PI()*2*Setup!$B$22*A336*B336)/33000))</f>
        <v>EMPTY</v>
      </c>
      <c r="D336" s="30" t="str">
        <f>IF(Setup!$H$2=0,"EMPTY",IF(B336=0,"EMPTY",B336*Setup!$B$22*Setup!$G$6*Setup!$D$11))</f>
        <v>EMPTY</v>
      </c>
      <c r="E336" s="31">
        <f>IF(Setup!$H$2=0,-1,IF(A336=0,-1,A336*1/(Setup!$G$6)))</f>
        <v>-1</v>
      </c>
      <c r="F336" s="31"/>
    </row>
    <row r="337" spans="1:6" ht="15.75" x14ac:dyDescent="0.25">
      <c r="A337"/>
      <c r="B337"/>
      <c r="C337" s="29" t="str">
        <f>IF(B337=0,"EMPTY",Setup!$D$11*((PI()*2*Setup!$B$22*A337*B337)/33000))</f>
        <v>EMPTY</v>
      </c>
      <c r="D337" s="30" t="str">
        <f>IF(Setup!$H$2=0,"EMPTY",IF(B337=0,"EMPTY",B337*Setup!$B$22*Setup!$G$6*Setup!$D$11))</f>
        <v>EMPTY</v>
      </c>
      <c r="E337" s="31">
        <f>IF(Setup!$H$2=0,-1,IF(A337=0,-1,A337*1/(Setup!$G$6)))</f>
        <v>-1</v>
      </c>
      <c r="F337" s="31"/>
    </row>
    <row r="338" spans="1:6" ht="15.75" x14ac:dyDescent="0.25">
      <c r="A338"/>
      <c r="B338"/>
      <c r="C338" s="29" t="str">
        <f>IF(B338=0,"EMPTY",Setup!$D$11*((PI()*2*Setup!$B$22*A338*B338)/33000))</f>
        <v>EMPTY</v>
      </c>
      <c r="D338" s="30" t="str">
        <f>IF(Setup!$H$2=0,"EMPTY",IF(B338=0,"EMPTY",B338*Setup!$B$22*Setup!$G$6*Setup!$D$11))</f>
        <v>EMPTY</v>
      </c>
      <c r="E338" s="31">
        <f>IF(Setup!$H$2=0,-1,IF(A338=0,-1,A338*1/(Setup!$G$6)))</f>
        <v>-1</v>
      </c>
      <c r="F338" s="31"/>
    </row>
    <row r="339" spans="1:6" ht="15.75" x14ac:dyDescent="0.25">
      <c r="A339"/>
      <c r="B339"/>
      <c r="C339" s="29" t="str">
        <f>IF(B339=0,"EMPTY",Setup!$D$11*((PI()*2*Setup!$B$22*A339*B339)/33000))</f>
        <v>EMPTY</v>
      </c>
      <c r="D339" s="30" t="str">
        <f>IF(Setup!$H$2=0,"EMPTY",IF(B339=0,"EMPTY",B339*Setup!$B$22*Setup!$G$6*Setup!$D$11))</f>
        <v>EMPTY</v>
      </c>
      <c r="E339" s="31">
        <f>IF(Setup!$H$2=0,-1,IF(A339=0,-1,A339*1/(Setup!$G$6)))</f>
        <v>-1</v>
      </c>
      <c r="F339" s="31"/>
    </row>
    <row r="340" spans="1:6" ht="15.75" x14ac:dyDescent="0.25">
      <c r="A340"/>
      <c r="B340"/>
      <c r="C340" s="29" t="str">
        <f>IF(B340=0,"EMPTY",Setup!$D$11*((PI()*2*Setup!$B$22*A340*B340)/33000))</f>
        <v>EMPTY</v>
      </c>
      <c r="D340" s="30" t="str">
        <f>IF(Setup!$H$2=0,"EMPTY",IF(B340=0,"EMPTY",B340*Setup!$B$22*Setup!$G$6*Setup!$D$11))</f>
        <v>EMPTY</v>
      </c>
      <c r="E340" s="31">
        <f>IF(Setup!$H$2=0,-1,IF(A340=0,-1,A340*1/(Setup!$G$6)))</f>
        <v>-1</v>
      </c>
      <c r="F340" s="31"/>
    </row>
    <row r="341" spans="1:6" ht="15.75" x14ac:dyDescent="0.25">
      <c r="A341"/>
      <c r="B341"/>
      <c r="C341" s="29" t="str">
        <f>IF(B341=0,"EMPTY",Setup!$D$11*((PI()*2*Setup!$B$22*A341*B341)/33000))</f>
        <v>EMPTY</v>
      </c>
      <c r="D341" s="30" t="str">
        <f>IF(Setup!$H$2=0,"EMPTY",IF(B341=0,"EMPTY",B341*Setup!$B$22*Setup!$G$6*Setup!$D$11))</f>
        <v>EMPTY</v>
      </c>
      <c r="E341" s="31">
        <f>IF(Setup!$H$2=0,-1,IF(A341=0,-1,A341*1/(Setup!$G$6)))</f>
        <v>-1</v>
      </c>
      <c r="F341" s="31"/>
    </row>
    <row r="342" spans="1:6" ht="15.75" x14ac:dyDescent="0.25">
      <c r="A342"/>
      <c r="B342"/>
      <c r="C342" s="29" t="str">
        <f>IF(B342=0,"EMPTY",Setup!$D$11*((PI()*2*Setup!$B$22*A342*B342)/33000))</f>
        <v>EMPTY</v>
      </c>
      <c r="D342" s="30" t="str">
        <f>IF(Setup!$H$2=0,"EMPTY",IF(B342=0,"EMPTY",B342*Setup!$B$22*Setup!$G$6*Setup!$D$11))</f>
        <v>EMPTY</v>
      </c>
      <c r="E342" s="31">
        <f>IF(Setup!$H$2=0,-1,IF(A342=0,-1,A342*1/(Setup!$G$6)))</f>
        <v>-1</v>
      </c>
      <c r="F342" s="31"/>
    </row>
    <row r="343" spans="1:6" ht="15.75" x14ac:dyDescent="0.25">
      <c r="A343"/>
      <c r="B343"/>
      <c r="C343" s="29" t="str">
        <f>IF(B343=0,"EMPTY",Setup!$D$11*((PI()*2*Setup!$B$22*A343*B343)/33000))</f>
        <v>EMPTY</v>
      </c>
      <c r="D343" s="30" t="str">
        <f>IF(Setup!$H$2=0,"EMPTY",IF(B343=0,"EMPTY",B343*Setup!$B$22*Setup!$G$6*Setup!$D$11))</f>
        <v>EMPTY</v>
      </c>
      <c r="E343" s="31">
        <f>IF(Setup!$H$2=0,-1,IF(A343=0,-1,A343*1/(Setup!$G$6)))</f>
        <v>-1</v>
      </c>
      <c r="F343" s="31"/>
    </row>
    <row r="344" spans="1:6" ht="15.75" x14ac:dyDescent="0.25">
      <c r="A344"/>
      <c r="B344"/>
      <c r="C344" s="29" t="str">
        <f>IF(B344=0,"EMPTY",Setup!$D$11*((PI()*2*Setup!$B$22*A344*B344)/33000))</f>
        <v>EMPTY</v>
      </c>
      <c r="D344" s="30" t="str">
        <f>IF(Setup!$H$2=0,"EMPTY",IF(B344=0,"EMPTY",B344*Setup!$B$22*Setup!$G$6*Setup!$D$11))</f>
        <v>EMPTY</v>
      </c>
      <c r="E344" s="31">
        <f>IF(Setup!$H$2=0,-1,IF(A344=0,-1,A344*1/(Setup!$G$6)))</f>
        <v>-1</v>
      </c>
      <c r="F344" s="31"/>
    </row>
    <row r="345" spans="1:6" ht="15.75" x14ac:dyDescent="0.25">
      <c r="A345"/>
      <c r="B345"/>
      <c r="C345" s="29" t="str">
        <f>IF(B345=0,"EMPTY",Setup!$D$11*((PI()*2*Setup!$B$22*A345*B345)/33000))</f>
        <v>EMPTY</v>
      </c>
      <c r="D345" s="30" t="str">
        <f>IF(Setup!$H$2=0,"EMPTY",IF(B345=0,"EMPTY",B345*Setup!$B$22*Setup!$G$6*Setup!$D$11))</f>
        <v>EMPTY</v>
      </c>
      <c r="E345" s="31">
        <f>IF(Setup!$H$2=0,-1,IF(A345=0,-1,A345*1/(Setup!$G$6)))</f>
        <v>-1</v>
      </c>
      <c r="F345" s="31"/>
    </row>
    <row r="346" spans="1:6" ht="15.75" x14ac:dyDescent="0.25">
      <c r="A346"/>
      <c r="B346"/>
      <c r="C346" s="29" t="str">
        <f>IF(B346=0,"EMPTY",Setup!$D$11*((PI()*2*Setup!$B$22*A346*B346)/33000))</f>
        <v>EMPTY</v>
      </c>
      <c r="D346" s="30" t="str">
        <f>IF(Setup!$H$2=0,"EMPTY",IF(B346=0,"EMPTY",B346*Setup!$B$22*Setup!$G$6*Setup!$D$11))</f>
        <v>EMPTY</v>
      </c>
      <c r="E346" s="31">
        <f>IF(Setup!$H$2=0,-1,IF(A346=0,-1,A346*1/(Setup!$G$6)))</f>
        <v>-1</v>
      </c>
      <c r="F346" s="31"/>
    </row>
    <row r="347" spans="1:6" ht="15.75" x14ac:dyDescent="0.25">
      <c r="A347"/>
      <c r="B347"/>
      <c r="C347" s="29" t="str">
        <f>IF(B347=0,"EMPTY",Setup!$D$11*((PI()*2*Setup!$B$22*A347*B347)/33000))</f>
        <v>EMPTY</v>
      </c>
      <c r="D347" s="30" t="str">
        <f>IF(Setup!$H$2=0,"EMPTY",IF(B347=0,"EMPTY",B347*Setup!$B$22*Setup!$G$6*Setup!$D$11))</f>
        <v>EMPTY</v>
      </c>
      <c r="E347" s="31">
        <f>IF(Setup!$H$2=0,-1,IF(A347=0,-1,A347*1/(Setup!$G$6)))</f>
        <v>-1</v>
      </c>
      <c r="F347" s="31"/>
    </row>
    <row r="348" spans="1:6" ht="15.75" x14ac:dyDescent="0.25">
      <c r="A348"/>
      <c r="B348"/>
      <c r="C348" s="29" t="str">
        <f>IF(B348=0,"EMPTY",Setup!$D$11*((PI()*2*Setup!$B$22*A348*B348)/33000))</f>
        <v>EMPTY</v>
      </c>
      <c r="D348" s="30" t="str">
        <f>IF(Setup!$H$2=0,"EMPTY",IF(B348=0,"EMPTY",B348*Setup!$B$22*Setup!$G$6*Setup!$D$11))</f>
        <v>EMPTY</v>
      </c>
      <c r="E348" s="31">
        <f>IF(Setup!$H$2=0,-1,IF(A348=0,-1,A348*1/(Setup!$G$6)))</f>
        <v>-1</v>
      </c>
      <c r="F348" s="31"/>
    </row>
    <row r="349" spans="1:6" ht="15.75" x14ac:dyDescent="0.25">
      <c r="A349"/>
      <c r="B349"/>
      <c r="C349" s="29" t="str">
        <f>IF(B349=0,"EMPTY",Setup!$D$11*((PI()*2*Setup!$B$22*A349*B349)/33000))</f>
        <v>EMPTY</v>
      </c>
      <c r="D349" s="30" t="str">
        <f>IF(Setup!$H$2=0,"EMPTY",IF(B349=0,"EMPTY",B349*Setup!$B$22*Setup!$G$6*Setup!$D$11))</f>
        <v>EMPTY</v>
      </c>
      <c r="E349" s="31">
        <f>IF(Setup!$H$2=0,-1,IF(A349=0,-1,A349*1/(Setup!$G$6)))</f>
        <v>-1</v>
      </c>
      <c r="F349" s="31"/>
    </row>
    <row r="350" spans="1:6" ht="15.75" x14ac:dyDescent="0.25">
      <c r="A350"/>
      <c r="B350"/>
      <c r="C350" s="29" t="str">
        <f>IF(B350=0,"EMPTY",Setup!$D$11*((PI()*2*Setup!$B$22*A350*B350)/33000))</f>
        <v>EMPTY</v>
      </c>
      <c r="D350" s="30" t="str">
        <f>IF(Setup!$H$2=0,"EMPTY",IF(B350=0,"EMPTY",B350*Setup!$B$22*Setup!$G$6*Setup!$D$11))</f>
        <v>EMPTY</v>
      </c>
      <c r="E350" s="31">
        <f>IF(Setup!$H$2=0,-1,IF(A350=0,-1,A350*1/(Setup!$G$6)))</f>
        <v>-1</v>
      </c>
      <c r="F350" s="31"/>
    </row>
    <row r="351" spans="1:6" ht="15.75" x14ac:dyDescent="0.25">
      <c r="A351"/>
      <c r="B351"/>
      <c r="C351" s="29" t="str">
        <f>IF(B351=0,"EMPTY",Setup!$D$11*((PI()*2*Setup!$B$22*A351*B351)/33000))</f>
        <v>EMPTY</v>
      </c>
      <c r="D351" s="30" t="str">
        <f>IF(Setup!$H$2=0,"EMPTY",IF(B351=0,"EMPTY",B351*Setup!$B$22*Setup!$G$6*Setup!$D$11))</f>
        <v>EMPTY</v>
      </c>
      <c r="E351" s="31">
        <f>IF(Setup!$H$2=0,-1,IF(A351=0,-1,A351*1/(Setup!$G$6)))</f>
        <v>-1</v>
      </c>
      <c r="F351" s="31"/>
    </row>
    <row r="352" spans="1:6" ht="15.75" x14ac:dyDescent="0.25">
      <c r="A352"/>
      <c r="B352"/>
      <c r="C352" s="29" t="str">
        <f>IF(B352=0,"EMPTY",Setup!$D$11*((PI()*2*Setup!$B$22*A352*B352)/33000))</f>
        <v>EMPTY</v>
      </c>
      <c r="D352" s="30" t="str">
        <f>IF(Setup!$H$2=0,"EMPTY",IF(B352=0,"EMPTY",B352*Setup!$B$22*Setup!$G$6*Setup!$D$11))</f>
        <v>EMPTY</v>
      </c>
      <c r="E352" s="31">
        <f>IF(Setup!$H$2=0,-1,IF(A352=0,-1,A352*1/(Setup!$G$6)))</f>
        <v>-1</v>
      </c>
      <c r="F352" s="31"/>
    </row>
    <row r="353" spans="1:6" ht="15.75" x14ac:dyDescent="0.25">
      <c r="A353"/>
      <c r="B353"/>
      <c r="C353" s="29" t="str">
        <f>IF(B353=0,"EMPTY",Setup!$D$11*((PI()*2*Setup!$B$22*A353*B353)/33000))</f>
        <v>EMPTY</v>
      </c>
      <c r="D353" s="30" t="str">
        <f>IF(Setup!$H$2=0,"EMPTY",IF(B353=0,"EMPTY",B353*Setup!$B$22*Setup!$G$6*Setup!$D$11))</f>
        <v>EMPTY</v>
      </c>
      <c r="E353" s="31">
        <f>IF(Setup!$H$2=0,-1,IF(A353=0,-1,A353*1/(Setup!$G$6)))</f>
        <v>-1</v>
      </c>
      <c r="F353" s="31"/>
    </row>
    <row r="354" spans="1:6" ht="15.75" x14ac:dyDescent="0.25">
      <c r="A354"/>
      <c r="B354"/>
      <c r="C354" s="29" t="str">
        <f>IF(B354=0,"EMPTY",Setup!$D$11*((PI()*2*Setup!$B$22*A354*B354)/33000))</f>
        <v>EMPTY</v>
      </c>
      <c r="D354" s="30" t="str">
        <f>IF(Setup!$H$2=0,"EMPTY",IF(B354=0,"EMPTY",B354*Setup!$B$22*Setup!$G$6*Setup!$D$11))</f>
        <v>EMPTY</v>
      </c>
      <c r="E354" s="31">
        <f>IF(Setup!$H$2=0,-1,IF(A354=0,-1,A354*1/(Setup!$G$6)))</f>
        <v>-1</v>
      </c>
      <c r="F354" s="31"/>
    </row>
    <row r="355" spans="1:6" ht="15.75" x14ac:dyDescent="0.25">
      <c r="A355"/>
      <c r="B355"/>
      <c r="C355" s="29" t="str">
        <f>IF(B355=0,"EMPTY",Setup!$D$11*((PI()*2*Setup!$B$22*A355*B355)/33000))</f>
        <v>EMPTY</v>
      </c>
      <c r="D355" s="30" t="str">
        <f>IF(Setup!$H$2=0,"EMPTY",IF(B355=0,"EMPTY",B355*Setup!$B$22*Setup!$G$6*Setup!$D$11))</f>
        <v>EMPTY</v>
      </c>
      <c r="E355" s="31">
        <f>IF(Setup!$H$2=0,-1,IF(A355=0,-1,A355*1/(Setup!$G$6)))</f>
        <v>-1</v>
      </c>
      <c r="F355" s="31"/>
    </row>
    <row r="356" spans="1:6" ht="15.75" x14ac:dyDescent="0.25">
      <c r="A356"/>
      <c r="B356"/>
      <c r="C356" s="29" t="str">
        <f>IF(B356=0,"EMPTY",Setup!$D$11*((PI()*2*Setup!$B$22*A356*B356)/33000))</f>
        <v>EMPTY</v>
      </c>
      <c r="D356" s="30" t="str">
        <f>IF(Setup!$H$2=0,"EMPTY",IF(B356=0,"EMPTY",B356*Setup!$B$22*Setup!$G$6*Setup!$D$11))</f>
        <v>EMPTY</v>
      </c>
      <c r="E356" s="31">
        <f>IF(Setup!$H$2=0,-1,IF(A356=0,-1,A356*1/(Setup!$G$6)))</f>
        <v>-1</v>
      </c>
      <c r="F356" s="31"/>
    </row>
    <row r="357" spans="1:6" ht="15.75" x14ac:dyDescent="0.25">
      <c r="A357"/>
      <c r="B357"/>
      <c r="C357" s="29" t="str">
        <f>IF(B357=0,"EMPTY",Setup!$D$11*((PI()*2*Setup!$B$22*A357*B357)/33000))</f>
        <v>EMPTY</v>
      </c>
      <c r="D357" s="30" t="str">
        <f>IF(Setup!$H$2=0,"EMPTY",IF(B357=0,"EMPTY",B357*Setup!$B$22*Setup!$G$6*Setup!$D$11))</f>
        <v>EMPTY</v>
      </c>
      <c r="E357" s="31">
        <f>IF(Setup!$H$2=0,-1,IF(A357=0,-1,A357*1/(Setup!$G$6)))</f>
        <v>-1</v>
      </c>
      <c r="F357" s="31"/>
    </row>
    <row r="358" spans="1:6" ht="15.75" x14ac:dyDescent="0.25">
      <c r="A358"/>
      <c r="B358"/>
      <c r="C358" s="29" t="str">
        <f>IF(B358=0,"EMPTY",Setup!$D$11*((PI()*2*Setup!$B$22*A358*B358)/33000))</f>
        <v>EMPTY</v>
      </c>
      <c r="D358" s="30" t="str">
        <f>IF(Setup!$H$2=0,"EMPTY",IF(B358=0,"EMPTY",B358*Setup!$B$22*Setup!$G$6*Setup!$D$11))</f>
        <v>EMPTY</v>
      </c>
      <c r="E358" s="31">
        <f>IF(Setup!$H$2=0,-1,IF(A358=0,-1,A358*1/(Setup!$G$6)))</f>
        <v>-1</v>
      </c>
      <c r="F358" s="31"/>
    </row>
    <row r="359" spans="1:6" ht="15.75" x14ac:dyDescent="0.25">
      <c r="A359"/>
      <c r="B359"/>
      <c r="C359" s="29" t="str">
        <f>IF(B359=0,"EMPTY",Setup!$D$11*((PI()*2*Setup!$B$22*A359*B359)/33000))</f>
        <v>EMPTY</v>
      </c>
      <c r="D359" s="30" t="str">
        <f>IF(Setup!$H$2=0,"EMPTY",IF(B359=0,"EMPTY",B359*Setup!$B$22*Setup!$G$6*Setup!$D$11))</f>
        <v>EMPTY</v>
      </c>
      <c r="E359" s="31">
        <f>IF(Setup!$H$2=0,-1,IF(A359=0,-1,A359*1/(Setup!$G$6)))</f>
        <v>-1</v>
      </c>
      <c r="F359" s="31"/>
    </row>
    <row r="360" spans="1:6" ht="15.75" x14ac:dyDescent="0.25">
      <c r="A360"/>
      <c r="B360"/>
      <c r="C360" s="29" t="str">
        <f>IF(B360=0,"EMPTY",Setup!$D$11*((PI()*2*Setup!$B$22*A360*B360)/33000))</f>
        <v>EMPTY</v>
      </c>
      <c r="D360" s="30" t="str">
        <f>IF(Setup!$H$2=0,"EMPTY",IF(B360=0,"EMPTY",B360*Setup!$B$22*Setup!$G$6*Setup!$D$11))</f>
        <v>EMPTY</v>
      </c>
      <c r="E360" s="31">
        <f>IF(Setup!$H$2=0,-1,IF(A360=0,-1,A360*1/(Setup!$G$6)))</f>
        <v>-1</v>
      </c>
      <c r="F360" s="31"/>
    </row>
    <row r="361" spans="1:6" ht="15.75" x14ac:dyDescent="0.25">
      <c r="A361"/>
      <c r="B361"/>
      <c r="C361" s="29" t="str">
        <f>IF(B361=0,"EMPTY",Setup!$D$11*((PI()*2*Setup!$B$22*A361*B361)/33000))</f>
        <v>EMPTY</v>
      </c>
      <c r="D361" s="30" t="str">
        <f>IF(Setup!$H$2=0,"EMPTY",IF(B361=0,"EMPTY",B361*Setup!$B$22*Setup!$G$6*Setup!$D$11))</f>
        <v>EMPTY</v>
      </c>
      <c r="E361" s="31">
        <f>IF(Setup!$H$2=0,-1,IF(A361=0,-1,A361*1/(Setup!$G$6)))</f>
        <v>-1</v>
      </c>
      <c r="F361" s="31"/>
    </row>
    <row r="362" spans="1:6" ht="15.75" x14ac:dyDescent="0.25">
      <c r="A362"/>
      <c r="B362"/>
      <c r="C362" s="29" t="str">
        <f>IF(B362=0,"EMPTY",Setup!$D$11*((PI()*2*Setup!$B$22*A362*B362)/33000))</f>
        <v>EMPTY</v>
      </c>
      <c r="D362" s="30" t="str">
        <f>IF(Setup!$H$2=0,"EMPTY",IF(B362=0,"EMPTY",B362*Setup!$B$22*Setup!$G$6*Setup!$D$11))</f>
        <v>EMPTY</v>
      </c>
      <c r="E362" s="31">
        <f>IF(Setup!$H$2=0,-1,IF(A362=0,-1,A362*1/(Setup!$G$6)))</f>
        <v>-1</v>
      </c>
      <c r="F362" s="31"/>
    </row>
    <row r="363" spans="1:6" ht="15.75" x14ac:dyDescent="0.25">
      <c r="A363"/>
      <c r="B363"/>
      <c r="C363" s="29" t="str">
        <f>IF(B363=0,"EMPTY",Setup!$D$11*((PI()*2*Setup!$B$22*A363*B363)/33000))</f>
        <v>EMPTY</v>
      </c>
      <c r="D363" s="30" t="str">
        <f>IF(Setup!$H$2=0,"EMPTY",IF(B363=0,"EMPTY",B363*Setup!$B$22*Setup!$G$6*Setup!$D$11))</f>
        <v>EMPTY</v>
      </c>
      <c r="E363" s="31">
        <f>IF(Setup!$H$2=0,-1,IF(A363=0,-1,A363*1/(Setup!$G$6)))</f>
        <v>-1</v>
      </c>
      <c r="F363" s="31"/>
    </row>
    <row r="364" spans="1:6" ht="15.75" x14ac:dyDescent="0.25">
      <c r="A364"/>
      <c r="B364"/>
      <c r="C364" s="29" t="str">
        <f>IF(B364=0,"EMPTY",Setup!$D$11*((PI()*2*Setup!$B$22*A364*B364)/33000))</f>
        <v>EMPTY</v>
      </c>
      <c r="D364" s="30" t="str">
        <f>IF(Setup!$H$2=0,"EMPTY",IF(B364=0,"EMPTY",B364*Setup!$B$22*Setup!$G$6*Setup!$D$11))</f>
        <v>EMPTY</v>
      </c>
      <c r="E364" s="31">
        <f>IF(Setup!$H$2=0,-1,IF(A364=0,-1,A364*1/(Setup!$G$6)))</f>
        <v>-1</v>
      </c>
      <c r="F364" s="31"/>
    </row>
    <row r="365" spans="1:6" ht="15.75" x14ac:dyDescent="0.25">
      <c r="A365"/>
      <c r="B365"/>
      <c r="C365" s="29" t="str">
        <f>IF(B365=0,"EMPTY",Setup!$D$11*((PI()*2*Setup!$B$22*A365*B365)/33000))</f>
        <v>EMPTY</v>
      </c>
      <c r="D365" s="30" t="str">
        <f>IF(Setup!$H$2=0,"EMPTY",IF(B365=0,"EMPTY",B365*Setup!$B$22*Setup!$G$6*Setup!$D$11))</f>
        <v>EMPTY</v>
      </c>
      <c r="E365" s="31">
        <f>IF(Setup!$H$2=0,-1,IF(A365=0,-1,A365*1/(Setup!$G$6)))</f>
        <v>-1</v>
      </c>
      <c r="F365" s="31"/>
    </row>
    <row r="366" spans="1:6" ht="15.75" x14ac:dyDescent="0.25">
      <c r="A366"/>
      <c r="B366"/>
      <c r="C366" s="29" t="str">
        <f>IF(B366=0,"EMPTY",Setup!$D$11*((PI()*2*Setup!$B$22*A366*B366)/33000))</f>
        <v>EMPTY</v>
      </c>
      <c r="D366" s="30" t="str">
        <f>IF(Setup!$H$2=0,"EMPTY",IF(B366=0,"EMPTY",B366*Setup!$B$22*Setup!$G$6*Setup!$D$11))</f>
        <v>EMPTY</v>
      </c>
      <c r="E366" s="31">
        <f>IF(Setup!$H$2=0,-1,IF(A366=0,-1,A366*1/(Setup!$G$6)))</f>
        <v>-1</v>
      </c>
      <c r="F366" s="31"/>
    </row>
    <row r="367" spans="1:6" ht="15.75" x14ac:dyDescent="0.25">
      <c r="A367"/>
      <c r="B367"/>
      <c r="C367" s="29" t="str">
        <f>IF(B367=0,"EMPTY",Setup!$D$11*((PI()*2*Setup!$B$22*A367*B367)/33000))</f>
        <v>EMPTY</v>
      </c>
      <c r="D367" s="30" t="str">
        <f>IF(Setup!$H$2=0,"EMPTY",IF(B367=0,"EMPTY",B367*Setup!$B$22*Setup!$G$6*Setup!$D$11))</f>
        <v>EMPTY</v>
      </c>
      <c r="E367" s="31">
        <f>IF(Setup!$H$2=0,-1,IF(A367=0,-1,A367*1/(Setup!$G$6)))</f>
        <v>-1</v>
      </c>
      <c r="F367" s="31"/>
    </row>
    <row r="368" spans="1:6" ht="15.75" x14ac:dyDescent="0.25">
      <c r="A368"/>
      <c r="B368"/>
      <c r="C368" s="29" t="str">
        <f>IF(B368=0,"EMPTY",Setup!$D$11*((PI()*2*Setup!$B$22*A368*B368)/33000))</f>
        <v>EMPTY</v>
      </c>
      <c r="D368" s="30" t="str">
        <f>IF(Setup!$H$2=0,"EMPTY",IF(B368=0,"EMPTY",B368*Setup!$B$22*Setup!$G$6*Setup!$D$11))</f>
        <v>EMPTY</v>
      </c>
      <c r="E368" s="31">
        <f>IF(Setup!$H$2=0,-1,IF(A368=0,-1,A368*1/(Setup!$G$6)))</f>
        <v>-1</v>
      </c>
      <c r="F368" s="31"/>
    </row>
    <row r="369" spans="1:6" ht="15.75" x14ac:dyDescent="0.25">
      <c r="A369"/>
      <c r="B369"/>
      <c r="C369" s="29" t="str">
        <f>IF(B369=0,"EMPTY",Setup!$D$11*((PI()*2*Setup!$B$22*A369*B369)/33000))</f>
        <v>EMPTY</v>
      </c>
      <c r="D369" s="30" t="str">
        <f>IF(Setup!$H$2=0,"EMPTY",IF(B369=0,"EMPTY",B369*Setup!$B$22*Setup!$G$6*Setup!$D$11))</f>
        <v>EMPTY</v>
      </c>
      <c r="E369" s="31">
        <f>IF(Setup!$H$2=0,-1,IF(A369=0,-1,A369*1/(Setup!$G$6)))</f>
        <v>-1</v>
      </c>
      <c r="F369" s="31"/>
    </row>
    <row r="370" spans="1:6" ht="15.75" x14ac:dyDescent="0.25">
      <c r="A370"/>
      <c r="B370"/>
      <c r="C370" s="29" t="str">
        <f>IF(B370=0,"EMPTY",Setup!$D$11*((PI()*2*Setup!$B$22*A370*B370)/33000))</f>
        <v>EMPTY</v>
      </c>
      <c r="D370" s="30" t="str">
        <f>IF(Setup!$H$2=0,"EMPTY",IF(B370=0,"EMPTY",B370*Setup!$B$22*Setup!$G$6*Setup!$D$11))</f>
        <v>EMPTY</v>
      </c>
      <c r="E370" s="31">
        <f>IF(Setup!$H$2=0,-1,IF(A370=0,-1,A370*1/(Setup!$G$6)))</f>
        <v>-1</v>
      </c>
      <c r="F370" s="31"/>
    </row>
    <row r="371" spans="1:6" ht="15.75" x14ac:dyDescent="0.25">
      <c r="A371"/>
      <c r="B371"/>
      <c r="C371" s="29" t="str">
        <f>IF(B371=0,"EMPTY",Setup!$D$11*((PI()*2*Setup!$B$22*A371*B371)/33000))</f>
        <v>EMPTY</v>
      </c>
      <c r="D371" s="30" t="str">
        <f>IF(Setup!$H$2=0,"EMPTY",IF(B371=0,"EMPTY",B371*Setup!$B$22*Setup!$G$6*Setup!$D$11))</f>
        <v>EMPTY</v>
      </c>
      <c r="E371" s="31">
        <f>IF(Setup!$H$2=0,-1,IF(A371=0,-1,A371*1/(Setup!$G$6)))</f>
        <v>-1</v>
      </c>
      <c r="F371" s="31"/>
    </row>
    <row r="372" spans="1:6" ht="15.75" x14ac:dyDescent="0.25">
      <c r="A372"/>
      <c r="B372"/>
      <c r="C372" s="29" t="str">
        <f>IF(B372=0,"EMPTY",Setup!$D$11*((PI()*2*Setup!$B$22*A372*B372)/33000))</f>
        <v>EMPTY</v>
      </c>
      <c r="D372" s="30" t="str">
        <f>IF(Setup!$H$2=0,"EMPTY",IF(B372=0,"EMPTY",B372*Setup!$B$22*Setup!$G$6*Setup!$D$11))</f>
        <v>EMPTY</v>
      </c>
      <c r="E372" s="31">
        <f>IF(Setup!$H$2=0,-1,IF(A372=0,-1,A372*1/(Setup!$G$6)))</f>
        <v>-1</v>
      </c>
      <c r="F372" s="31"/>
    </row>
    <row r="373" spans="1:6" ht="15.75" x14ac:dyDescent="0.25">
      <c r="A373"/>
      <c r="B373"/>
      <c r="C373" s="29" t="str">
        <f>IF(B373=0,"EMPTY",Setup!$D$11*((PI()*2*Setup!$B$22*A373*B373)/33000))</f>
        <v>EMPTY</v>
      </c>
      <c r="D373" s="30" t="str">
        <f>IF(Setup!$H$2=0,"EMPTY",IF(B373=0,"EMPTY",B373*Setup!$B$22*Setup!$G$6*Setup!$D$11))</f>
        <v>EMPTY</v>
      </c>
      <c r="E373" s="31">
        <f>IF(Setup!$H$2=0,-1,IF(A373=0,-1,A373*1/(Setup!$G$6)))</f>
        <v>-1</v>
      </c>
      <c r="F373" s="31"/>
    </row>
    <row r="374" spans="1:6" ht="15.75" x14ac:dyDescent="0.25">
      <c r="A374"/>
      <c r="B374"/>
      <c r="C374" s="29" t="str">
        <f>IF(B374=0,"EMPTY",Setup!$D$11*((PI()*2*Setup!$B$22*A374*B374)/33000))</f>
        <v>EMPTY</v>
      </c>
      <c r="D374" s="30" t="str">
        <f>IF(Setup!$H$2=0,"EMPTY",IF(B374=0,"EMPTY",B374*Setup!$B$22*Setup!$G$6*Setup!$D$11))</f>
        <v>EMPTY</v>
      </c>
      <c r="E374" s="31">
        <f>IF(Setup!$H$2=0,-1,IF(A374=0,-1,A374*1/(Setup!$G$6)))</f>
        <v>-1</v>
      </c>
      <c r="F374" s="31"/>
    </row>
    <row r="375" spans="1:6" ht="15.75" x14ac:dyDescent="0.25">
      <c r="A375"/>
      <c r="B375"/>
      <c r="C375" s="29" t="str">
        <f>IF(B375=0,"EMPTY",Setup!$D$11*((PI()*2*Setup!$B$22*A375*B375)/33000))</f>
        <v>EMPTY</v>
      </c>
      <c r="D375" s="30" t="str">
        <f>IF(Setup!$H$2=0,"EMPTY",IF(B375=0,"EMPTY",B375*Setup!$B$22*Setup!$G$6*Setup!$D$11))</f>
        <v>EMPTY</v>
      </c>
      <c r="E375" s="31">
        <f>IF(Setup!$H$2=0,-1,IF(A375=0,-1,A375*1/(Setup!$G$6)))</f>
        <v>-1</v>
      </c>
      <c r="F375" s="31"/>
    </row>
    <row r="376" spans="1:6" ht="15.75" x14ac:dyDescent="0.25">
      <c r="A376"/>
      <c r="B376"/>
      <c r="C376" s="29" t="str">
        <f>IF(B376=0,"EMPTY",Setup!$D$11*((PI()*2*Setup!$B$22*A376*B376)/33000))</f>
        <v>EMPTY</v>
      </c>
      <c r="D376" s="30" t="str">
        <f>IF(Setup!$H$2=0,"EMPTY",IF(B376=0,"EMPTY",B376*Setup!$B$22*Setup!$G$6*Setup!$D$11))</f>
        <v>EMPTY</v>
      </c>
      <c r="E376" s="31">
        <f>IF(Setup!$H$2=0,-1,IF(A376=0,-1,A376*1/(Setup!$G$6)))</f>
        <v>-1</v>
      </c>
      <c r="F376" s="31"/>
    </row>
    <row r="377" spans="1:6" ht="15.75" x14ac:dyDescent="0.25">
      <c r="A377"/>
      <c r="B377"/>
      <c r="C377" s="29" t="str">
        <f>IF(B377=0,"EMPTY",Setup!$D$11*((PI()*2*Setup!$B$22*A377*B377)/33000))</f>
        <v>EMPTY</v>
      </c>
      <c r="D377" s="30" t="str">
        <f>IF(Setup!$H$2=0,"EMPTY",IF(B377=0,"EMPTY",B377*Setup!$B$22*Setup!$G$6*Setup!$D$11))</f>
        <v>EMPTY</v>
      </c>
      <c r="E377" s="31">
        <f>IF(Setup!$H$2=0,-1,IF(A377=0,-1,A377*1/(Setup!$G$6)))</f>
        <v>-1</v>
      </c>
      <c r="F377" s="31"/>
    </row>
    <row r="378" spans="1:6" ht="15.75" x14ac:dyDescent="0.25">
      <c r="A378"/>
      <c r="B378"/>
      <c r="C378" s="29" t="str">
        <f>IF(B378=0,"EMPTY",Setup!$D$11*((PI()*2*Setup!$B$22*A378*B378)/33000))</f>
        <v>EMPTY</v>
      </c>
      <c r="D378" s="30" t="str">
        <f>IF(Setup!$H$2=0,"EMPTY",IF(B378=0,"EMPTY",B378*Setup!$B$22*Setup!$G$6*Setup!$D$11))</f>
        <v>EMPTY</v>
      </c>
      <c r="E378" s="31">
        <f>IF(Setup!$H$2=0,-1,IF(A378=0,-1,A378*1/(Setup!$G$6)))</f>
        <v>-1</v>
      </c>
      <c r="F378" s="31"/>
    </row>
    <row r="379" spans="1:6" ht="15.75" x14ac:dyDescent="0.25">
      <c r="A379"/>
      <c r="B379"/>
      <c r="C379" s="29" t="str">
        <f>IF(B379=0,"EMPTY",Setup!$D$11*((PI()*2*Setup!$B$22*A379*B379)/33000))</f>
        <v>EMPTY</v>
      </c>
      <c r="D379" s="30" t="str">
        <f>IF(Setup!$H$2=0,"EMPTY",IF(B379=0,"EMPTY",B379*Setup!$B$22*Setup!$G$6*Setup!$D$11))</f>
        <v>EMPTY</v>
      </c>
      <c r="E379" s="31">
        <f>IF(Setup!$H$2=0,-1,IF(A379=0,-1,A379*1/(Setup!$G$6)))</f>
        <v>-1</v>
      </c>
      <c r="F379" s="31"/>
    </row>
    <row r="380" spans="1:6" ht="15.75" x14ac:dyDescent="0.25">
      <c r="A380"/>
      <c r="B380"/>
      <c r="C380" s="29" t="str">
        <f>IF(B380=0,"EMPTY",Setup!$D$11*((PI()*2*Setup!$B$22*A380*B380)/33000))</f>
        <v>EMPTY</v>
      </c>
      <c r="D380" s="30" t="str">
        <f>IF(Setup!$H$2=0,"EMPTY",IF(B380=0,"EMPTY",B380*Setup!$B$22*Setup!$G$6*Setup!$D$11))</f>
        <v>EMPTY</v>
      </c>
      <c r="E380" s="31">
        <f>IF(Setup!$H$2=0,-1,IF(A380=0,-1,A380*1/(Setup!$G$6)))</f>
        <v>-1</v>
      </c>
      <c r="F380" s="31"/>
    </row>
    <row r="381" spans="1:6" ht="15.75" x14ac:dyDescent="0.25">
      <c r="A381"/>
      <c r="B381"/>
      <c r="C381" s="29" t="str">
        <f>IF(B381=0,"EMPTY",Setup!$D$11*((PI()*2*Setup!$B$22*A381*B381)/33000))</f>
        <v>EMPTY</v>
      </c>
      <c r="D381" s="30" t="str">
        <f>IF(Setup!$H$2=0,"EMPTY",IF(B381=0,"EMPTY",B381*Setup!$B$22*Setup!$G$6*Setup!$D$11))</f>
        <v>EMPTY</v>
      </c>
      <c r="E381" s="31">
        <f>IF(Setup!$H$2=0,-1,IF(A381=0,-1,A381*1/(Setup!$G$6)))</f>
        <v>-1</v>
      </c>
      <c r="F381" s="31"/>
    </row>
    <row r="382" spans="1:6" ht="15.75" x14ac:dyDescent="0.25">
      <c r="A382"/>
      <c r="B382"/>
      <c r="C382" s="29" t="str">
        <f>IF(B382=0,"EMPTY",Setup!$D$11*((PI()*2*Setup!$B$22*A382*B382)/33000))</f>
        <v>EMPTY</v>
      </c>
      <c r="D382" s="30" t="str">
        <f>IF(Setup!$H$2=0,"EMPTY",IF(B382=0,"EMPTY",B382*Setup!$B$22*Setup!$G$6*Setup!$D$11))</f>
        <v>EMPTY</v>
      </c>
      <c r="E382" s="31">
        <f>IF(Setup!$H$2=0,-1,IF(A382=0,-1,A382*1/(Setup!$G$6)))</f>
        <v>-1</v>
      </c>
      <c r="F382" s="31"/>
    </row>
    <row r="383" spans="1:6" ht="15.75" x14ac:dyDescent="0.25">
      <c r="A383"/>
      <c r="B383"/>
      <c r="C383" s="29" t="str">
        <f>IF(B383=0,"EMPTY",Setup!$D$11*((PI()*2*Setup!$B$22*A383*B383)/33000))</f>
        <v>EMPTY</v>
      </c>
      <c r="D383" s="30" t="str">
        <f>IF(Setup!$H$2=0,"EMPTY",IF(B383=0,"EMPTY",B383*Setup!$B$22*Setup!$G$6*Setup!$D$11))</f>
        <v>EMPTY</v>
      </c>
      <c r="E383" s="31">
        <f>IF(Setup!$H$2=0,-1,IF(A383=0,-1,A383*1/(Setup!$G$6)))</f>
        <v>-1</v>
      </c>
      <c r="F383" s="31"/>
    </row>
    <row r="384" spans="1:6" ht="15.75" x14ac:dyDescent="0.25">
      <c r="A384"/>
      <c r="B384"/>
      <c r="C384" s="29" t="str">
        <f>IF(B384=0,"EMPTY",Setup!$D$11*((PI()*2*Setup!$B$22*A384*B384)/33000))</f>
        <v>EMPTY</v>
      </c>
      <c r="D384" s="30" t="str">
        <f>IF(Setup!$H$2=0,"EMPTY",IF(B384=0,"EMPTY",B384*Setup!$B$22*Setup!$G$6*Setup!$D$11))</f>
        <v>EMPTY</v>
      </c>
      <c r="E384" s="31">
        <f>IF(Setup!$H$2=0,-1,IF(A384=0,-1,A384*1/(Setup!$G$6)))</f>
        <v>-1</v>
      </c>
      <c r="F384" s="31"/>
    </row>
    <row r="385" spans="1:6" ht="15.75" x14ac:dyDescent="0.25">
      <c r="A385"/>
      <c r="B385"/>
      <c r="C385" s="29" t="str">
        <f>IF(B385=0,"EMPTY",Setup!$D$11*((PI()*2*Setup!$B$22*A385*B385)/33000))</f>
        <v>EMPTY</v>
      </c>
      <c r="D385" s="30" t="str">
        <f>IF(Setup!$H$2=0,"EMPTY",IF(B385=0,"EMPTY",B385*Setup!$B$22*Setup!$G$6*Setup!$D$11))</f>
        <v>EMPTY</v>
      </c>
      <c r="E385" s="31">
        <f>IF(Setup!$H$2=0,-1,IF(A385=0,-1,A385*1/(Setup!$G$6)))</f>
        <v>-1</v>
      </c>
      <c r="F385" s="31"/>
    </row>
    <row r="386" spans="1:6" ht="15.75" x14ac:dyDescent="0.25">
      <c r="A386"/>
      <c r="B386"/>
      <c r="C386" s="29" t="str">
        <f>IF(B386=0,"EMPTY",Setup!$D$11*((PI()*2*Setup!$B$22*A386*B386)/33000))</f>
        <v>EMPTY</v>
      </c>
      <c r="D386" s="30" t="str">
        <f>IF(Setup!$H$2=0,"EMPTY",IF(B386=0,"EMPTY",B386*Setup!$B$22*Setup!$G$6*Setup!$D$11))</f>
        <v>EMPTY</v>
      </c>
      <c r="E386" s="31">
        <f>IF(Setup!$H$2=0,-1,IF(A386=0,-1,A386*1/(Setup!$G$6)))</f>
        <v>-1</v>
      </c>
      <c r="F386" s="31"/>
    </row>
    <row r="387" spans="1:6" ht="15.75" x14ac:dyDescent="0.25">
      <c r="A387"/>
      <c r="B387"/>
      <c r="C387" s="29" t="str">
        <f>IF(B387=0,"EMPTY",Setup!$D$11*((PI()*2*Setup!$B$22*A387*B387)/33000))</f>
        <v>EMPTY</v>
      </c>
      <c r="D387" s="30" t="str">
        <f>IF(Setup!$H$2=0,"EMPTY",IF(B387=0,"EMPTY",B387*Setup!$B$22*Setup!$G$6*Setup!$D$11))</f>
        <v>EMPTY</v>
      </c>
      <c r="E387" s="31">
        <f>IF(Setup!$H$2=0,-1,IF(A387=0,-1,A387*1/(Setup!$G$6)))</f>
        <v>-1</v>
      </c>
      <c r="F387" s="31"/>
    </row>
    <row r="388" spans="1:6" ht="15.75" x14ac:dyDescent="0.25">
      <c r="A388"/>
      <c r="B388"/>
      <c r="C388" s="29" t="str">
        <f>IF(B388=0,"EMPTY",Setup!$D$11*((PI()*2*Setup!$B$22*A388*B388)/33000))</f>
        <v>EMPTY</v>
      </c>
      <c r="D388" s="30" t="str">
        <f>IF(Setup!$H$2=0,"EMPTY",IF(B388=0,"EMPTY",B388*Setup!$B$22*Setup!$G$6*Setup!$D$11))</f>
        <v>EMPTY</v>
      </c>
      <c r="E388" s="31">
        <f>IF(Setup!$H$2=0,-1,IF(A388=0,-1,A388*1/(Setup!$G$6)))</f>
        <v>-1</v>
      </c>
      <c r="F388" s="31"/>
    </row>
    <row r="389" spans="1:6" ht="15.75" x14ac:dyDescent="0.25">
      <c r="A389"/>
      <c r="B389"/>
      <c r="C389" s="29" t="str">
        <f>IF(B389=0,"EMPTY",Setup!$D$11*((PI()*2*Setup!$B$22*A389*B389)/33000))</f>
        <v>EMPTY</v>
      </c>
      <c r="D389" s="30" t="str">
        <f>IF(Setup!$H$2=0,"EMPTY",IF(B389=0,"EMPTY",B389*Setup!$B$22*Setup!$G$6*Setup!$D$11))</f>
        <v>EMPTY</v>
      </c>
      <c r="E389" s="31">
        <f>IF(Setup!$H$2=0,-1,IF(A389=0,-1,A389*1/(Setup!$G$6)))</f>
        <v>-1</v>
      </c>
      <c r="F389" s="31"/>
    </row>
    <row r="390" spans="1:6" ht="15.75" x14ac:dyDescent="0.25">
      <c r="A390"/>
      <c r="B390"/>
      <c r="C390" s="29" t="str">
        <f>IF(B390=0,"EMPTY",Setup!$D$11*((PI()*2*Setup!$B$22*A390*B390)/33000))</f>
        <v>EMPTY</v>
      </c>
      <c r="D390" s="30" t="str">
        <f>IF(Setup!$H$2=0,"EMPTY",IF(B390=0,"EMPTY",B390*Setup!$B$22*Setup!$G$6*Setup!$D$11))</f>
        <v>EMPTY</v>
      </c>
      <c r="E390" s="31">
        <f>IF(Setup!$H$2=0,-1,IF(A390=0,-1,A390*1/(Setup!$G$6)))</f>
        <v>-1</v>
      </c>
      <c r="F390" s="31"/>
    </row>
    <row r="391" spans="1:6" ht="15.75" x14ac:dyDescent="0.25">
      <c r="A391"/>
      <c r="B391"/>
      <c r="C391" s="29" t="str">
        <f>IF(B391=0,"EMPTY",Setup!$D$11*((PI()*2*Setup!$B$22*A391*B391)/33000))</f>
        <v>EMPTY</v>
      </c>
      <c r="D391" s="30" t="str">
        <f>IF(Setup!$H$2=0,"EMPTY",IF(B391=0,"EMPTY",B391*Setup!$B$22*Setup!$G$6*Setup!$D$11))</f>
        <v>EMPTY</v>
      </c>
      <c r="E391" s="31">
        <f>IF(Setup!$H$2=0,-1,IF(A391=0,-1,A391*1/(Setup!$G$6)))</f>
        <v>-1</v>
      </c>
      <c r="F391" s="31"/>
    </row>
    <row r="392" spans="1:6" ht="15.75" x14ac:dyDescent="0.25">
      <c r="A392"/>
      <c r="B392"/>
      <c r="C392" s="29" t="str">
        <f>IF(B392=0,"EMPTY",Setup!$D$11*((PI()*2*Setup!$B$22*A392*B392)/33000))</f>
        <v>EMPTY</v>
      </c>
      <c r="D392" s="30" t="str">
        <f>IF(Setup!$H$2=0,"EMPTY",IF(B392=0,"EMPTY",B392*Setup!$B$22*Setup!$G$6*Setup!$D$11))</f>
        <v>EMPTY</v>
      </c>
      <c r="E392" s="31">
        <f>IF(Setup!$H$2=0,-1,IF(A392=0,-1,A392*1/(Setup!$G$6)))</f>
        <v>-1</v>
      </c>
      <c r="F392" s="31"/>
    </row>
    <row r="393" spans="1:6" ht="15.75" x14ac:dyDescent="0.25">
      <c r="A393"/>
      <c r="B393"/>
      <c r="C393" s="29" t="str">
        <f>IF(B393=0,"EMPTY",Setup!$D$11*((PI()*2*Setup!$B$22*A393*B393)/33000))</f>
        <v>EMPTY</v>
      </c>
      <c r="D393" s="30" t="str">
        <f>IF(Setup!$H$2=0,"EMPTY",IF(B393=0,"EMPTY",B393*Setup!$B$22*Setup!$G$6*Setup!$D$11))</f>
        <v>EMPTY</v>
      </c>
      <c r="E393" s="31">
        <f>IF(Setup!$H$2=0,-1,IF(A393=0,-1,A393*1/(Setup!$G$6)))</f>
        <v>-1</v>
      </c>
      <c r="F393" s="31"/>
    </row>
    <row r="394" spans="1:6" ht="15.75" x14ac:dyDescent="0.25">
      <c r="A394"/>
      <c r="B394"/>
      <c r="C394" s="29" t="str">
        <f>IF(B394=0,"EMPTY",Setup!$D$11*((PI()*2*Setup!$B$22*A394*B394)/33000))</f>
        <v>EMPTY</v>
      </c>
      <c r="D394" s="30" t="str">
        <f>IF(Setup!$H$2=0,"EMPTY",IF(B394=0,"EMPTY",B394*Setup!$B$22*Setup!$G$6*Setup!$D$11))</f>
        <v>EMPTY</v>
      </c>
      <c r="E394" s="31">
        <f>IF(Setup!$H$2=0,-1,IF(A394=0,-1,A394*1/(Setup!$G$6)))</f>
        <v>-1</v>
      </c>
      <c r="F394" s="31"/>
    </row>
    <row r="395" spans="1:6" ht="15.75" x14ac:dyDescent="0.25">
      <c r="A395"/>
      <c r="B395"/>
      <c r="C395" s="29" t="str">
        <f>IF(B395=0,"EMPTY",Setup!$D$11*((PI()*2*Setup!$B$22*A395*B395)/33000))</f>
        <v>EMPTY</v>
      </c>
      <c r="D395" s="30" t="str">
        <f>IF(Setup!$H$2=0,"EMPTY",IF(B395=0,"EMPTY",B395*Setup!$B$22*Setup!$G$6*Setup!$D$11))</f>
        <v>EMPTY</v>
      </c>
      <c r="E395" s="31">
        <f>IF(Setup!$H$2=0,-1,IF(A395=0,-1,A395*1/(Setup!$G$6)))</f>
        <v>-1</v>
      </c>
      <c r="F395" s="31"/>
    </row>
    <row r="396" spans="1:6" ht="15.75" x14ac:dyDescent="0.25">
      <c r="A396"/>
      <c r="B396"/>
      <c r="C396" s="29" t="str">
        <f>IF(B396=0,"EMPTY",Setup!$D$11*((PI()*2*Setup!$B$22*A396*B396)/33000))</f>
        <v>EMPTY</v>
      </c>
      <c r="D396" s="30" t="str">
        <f>IF(Setup!$H$2=0,"EMPTY",IF(B396=0,"EMPTY",B396*Setup!$B$22*Setup!$G$6*Setup!$D$11))</f>
        <v>EMPTY</v>
      </c>
      <c r="E396" s="31">
        <f>IF(Setup!$H$2=0,-1,IF(A396=0,-1,A396*1/(Setup!$G$6)))</f>
        <v>-1</v>
      </c>
      <c r="F396" s="31"/>
    </row>
    <row r="397" spans="1:6" ht="15.75" x14ac:dyDescent="0.25">
      <c r="A397"/>
      <c r="B397"/>
      <c r="C397" s="29" t="str">
        <f>IF(B397=0,"EMPTY",Setup!$D$11*((PI()*2*Setup!$B$22*A397*B397)/33000))</f>
        <v>EMPTY</v>
      </c>
      <c r="D397" s="30" t="str">
        <f>IF(Setup!$H$2=0,"EMPTY",IF(B397=0,"EMPTY",B397*Setup!$B$22*Setup!$G$6*Setup!$D$11))</f>
        <v>EMPTY</v>
      </c>
      <c r="E397" s="31">
        <f>IF(Setup!$H$2=0,-1,IF(A397=0,-1,A397*1/(Setup!$G$6)))</f>
        <v>-1</v>
      </c>
      <c r="F397" s="31"/>
    </row>
    <row r="398" spans="1:6" ht="15.75" x14ac:dyDescent="0.25">
      <c r="A398"/>
      <c r="B398"/>
      <c r="C398" s="29" t="str">
        <f>IF(B398=0,"EMPTY",Setup!$D$11*((PI()*2*Setup!$B$22*A398*B398)/33000))</f>
        <v>EMPTY</v>
      </c>
      <c r="D398" s="30" t="str">
        <f>IF(Setup!$H$2=0,"EMPTY",IF(B398=0,"EMPTY",B398*Setup!$B$22*Setup!$G$6*Setup!$D$11))</f>
        <v>EMPTY</v>
      </c>
      <c r="E398" s="31">
        <f>IF(Setup!$H$2=0,-1,IF(A398=0,-1,A398*1/(Setup!$G$6)))</f>
        <v>-1</v>
      </c>
      <c r="F398" s="31"/>
    </row>
    <row r="399" spans="1:6" ht="15.75" x14ac:dyDescent="0.25">
      <c r="A399"/>
      <c r="B399"/>
      <c r="C399" s="29" t="str">
        <f>IF(B399=0,"EMPTY",Setup!$D$11*((PI()*2*Setup!$B$22*A399*B399)/33000))</f>
        <v>EMPTY</v>
      </c>
      <c r="D399" s="30" t="str">
        <f>IF(Setup!$H$2=0,"EMPTY",IF(B399=0,"EMPTY",B399*Setup!$B$22*Setup!$G$6*Setup!$D$11))</f>
        <v>EMPTY</v>
      </c>
      <c r="E399" s="31">
        <f>IF(Setup!$H$2=0,-1,IF(A399=0,-1,A399*1/(Setup!$G$6)))</f>
        <v>-1</v>
      </c>
      <c r="F399" s="31"/>
    </row>
    <row r="400" spans="1:6" ht="15.75" x14ac:dyDescent="0.25">
      <c r="A400"/>
      <c r="B400"/>
      <c r="C400" s="29" t="str">
        <f>IF(B400=0,"EMPTY",Setup!$D$11*((PI()*2*Setup!$B$22*A400*B400)/33000))</f>
        <v>EMPTY</v>
      </c>
      <c r="D400" s="30" t="str">
        <f>IF(Setup!$H$2=0,"EMPTY",IF(B400=0,"EMPTY",B400*Setup!$B$22*Setup!$G$6*Setup!$D$11))</f>
        <v>EMPTY</v>
      </c>
      <c r="E400" s="31">
        <f>IF(Setup!$H$2=0,-1,IF(A400=0,-1,A400*1/(Setup!$G$6)))</f>
        <v>-1</v>
      </c>
      <c r="F400" s="31"/>
    </row>
    <row r="401" spans="1:6" ht="15.75" x14ac:dyDescent="0.25">
      <c r="A401"/>
      <c r="B401"/>
      <c r="C401" s="29" t="str">
        <f>IF(B401=0,"EMPTY",Setup!$D$11*((PI()*2*Setup!$B$22*A401*B401)/33000))</f>
        <v>EMPTY</v>
      </c>
      <c r="D401" s="30" t="str">
        <f>IF(Setup!$H$2=0,"EMPTY",IF(B401=0,"EMPTY",B401*Setup!$B$22*Setup!$G$6*Setup!$D$11))</f>
        <v>EMPTY</v>
      </c>
      <c r="E401" s="31">
        <f>IF(Setup!$H$2=0,-1,IF(A401=0,-1,A401*1/(Setup!$G$6)))</f>
        <v>-1</v>
      </c>
      <c r="F401" s="31"/>
    </row>
    <row r="402" spans="1:6" ht="15.75" x14ac:dyDescent="0.25">
      <c r="A402"/>
      <c r="B402"/>
      <c r="C402" s="29" t="str">
        <f>IF(B402=0,"EMPTY",Setup!$D$11*((PI()*2*Setup!$B$22*A402*B402)/33000))</f>
        <v>EMPTY</v>
      </c>
      <c r="D402" s="30" t="str">
        <f>IF(Setup!$H$2=0,"EMPTY",IF(B402=0,"EMPTY",B402*Setup!$B$22*Setup!$G$6*Setup!$D$11))</f>
        <v>EMPTY</v>
      </c>
      <c r="E402" s="31">
        <f>IF(Setup!$H$2=0,-1,IF(A402=0,-1,A402*1/(Setup!$G$6)))</f>
        <v>-1</v>
      </c>
      <c r="F402" s="31"/>
    </row>
    <row r="403" spans="1:6" ht="15.75" x14ac:dyDescent="0.25">
      <c r="A403"/>
      <c r="B403"/>
      <c r="C403" s="29" t="str">
        <f>IF(B403=0,"EMPTY",Setup!$D$11*((PI()*2*Setup!$B$22*A403*B403)/33000))</f>
        <v>EMPTY</v>
      </c>
      <c r="D403" s="30" t="str">
        <f>IF(Setup!$H$2=0,"EMPTY",IF(B403=0,"EMPTY",B403*Setup!$B$22*Setup!$G$6*Setup!$D$11))</f>
        <v>EMPTY</v>
      </c>
      <c r="E403" s="31">
        <f>IF(Setup!$H$2=0,-1,IF(A403=0,-1,A403*1/(Setup!$G$6)))</f>
        <v>-1</v>
      </c>
      <c r="F403" s="31"/>
    </row>
    <row r="404" spans="1:6" ht="15.75" x14ac:dyDescent="0.25">
      <c r="A404"/>
      <c r="B404"/>
      <c r="C404" s="29" t="str">
        <f>IF(B404=0,"EMPTY",Setup!$D$11*((PI()*2*Setup!$B$22*A404*B404)/33000))</f>
        <v>EMPTY</v>
      </c>
      <c r="D404" s="30" t="str">
        <f>IF(Setup!$H$2=0,"EMPTY",IF(B404=0,"EMPTY",B404*Setup!$B$22*Setup!$G$6*Setup!$D$11))</f>
        <v>EMPTY</v>
      </c>
      <c r="E404" s="31">
        <f>IF(Setup!$H$2=0,-1,IF(A404=0,-1,A404*1/(Setup!$G$6)))</f>
        <v>-1</v>
      </c>
      <c r="F404" s="31"/>
    </row>
    <row r="405" spans="1:6" ht="15.75" x14ac:dyDescent="0.25">
      <c r="A405"/>
      <c r="B405"/>
      <c r="C405" s="29" t="str">
        <f>IF(B405=0,"EMPTY",Setup!$D$11*((PI()*2*Setup!$B$22*A405*B405)/33000))</f>
        <v>EMPTY</v>
      </c>
      <c r="D405" s="30" t="str">
        <f>IF(Setup!$H$2=0,"EMPTY",IF(B405=0,"EMPTY",B405*Setup!$B$22*Setup!$G$6*Setup!$D$11))</f>
        <v>EMPTY</v>
      </c>
      <c r="E405" s="31">
        <f>IF(Setup!$H$2=0,-1,IF(A405=0,-1,A405*1/(Setup!$G$6)))</f>
        <v>-1</v>
      </c>
      <c r="F405" s="31"/>
    </row>
    <row r="406" spans="1:6" ht="15.75" x14ac:dyDescent="0.25">
      <c r="A406"/>
      <c r="B406"/>
      <c r="C406" s="29" t="str">
        <f>IF(B406=0,"EMPTY",Setup!$D$11*((PI()*2*Setup!$B$22*A406*B406)/33000))</f>
        <v>EMPTY</v>
      </c>
      <c r="D406" s="30" t="str">
        <f>IF(Setup!$H$2=0,"EMPTY",IF(B406=0,"EMPTY",B406*Setup!$B$22*Setup!$G$6*Setup!$D$11))</f>
        <v>EMPTY</v>
      </c>
      <c r="E406" s="31">
        <f>IF(Setup!$H$2=0,-1,IF(A406=0,-1,A406*1/(Setup!$G$6)))</f>
        <v>-1</v>
      </c>
      <c r="F406" s="31"/>
    </row>
    <row r="407" spans="1:6" ht="15.75" x14ac:dyDescent="0.25">
      <c r="A407"/>
      <c r="B407"/>
      <c r="C407" s="29" t="str">
        <f>IF(B407=0,"EMPTY",Setup!$D$11*((PI()*2*Setup!$B$22*A407*B407)/33000))</f>
        <v>EMPTY</v>
      </c>
      <c r="D407" s="30" t="str">
        <f>IF(Setup!$H$2=0,"EMPTY",IF(B407=0,"EMPTY",B407*Setup!$B$22*Setup!$G$6*Setup!$D$11))</f>
        <v>EMPTY</v>
      </c>
      <c r="E407" s="31">
        <f>IF(Setup!$H$2=0,-1,IF(A407=0,-1,A407*1/(Setup!$G$6)))</f>
        <v>-1</v>
      </c>
      <c r="F407" s="31"/>
    </row>
    <row r="408" spans="1:6" ht="15.75" x14ac:dyDescent="0.25">
      <c r="A408"/>
      <c r="B408"/>
      <c r="C408" s="29" t="str">
        <f>IF(B408=0,"EMPTY",Setup!$D$11*((PI()*2*Setup!$B$22*A408*B408)/33000))</f>
        <v>EMPTY</v>
      </c>
      <c r="D408" s="30" t="str">
        <f>IF(Setup!$H$2=0,"EMPTY",IF(B408=0,"EMPTY",B408*Setup!$B$22*Setup!$G$6*Setup!$D$11))</f>
        <v>EMPTY</v>
      </c>
      <c r="E408" s="31">
        <f>IF(Setup!$H$2=0,-1,IF(A408=0,-1,A408*1/(Setup!$G$6)))</f>
        <v>-1</v>
      </c>
      <c r="F408" s="31"/>
    </row>
    <row r="409" spans="1:6" ht="15.75" x14ac:dyDescent="0.25">
      <c r="A409"/>
      <c r="B409"/>
      <c r="C409" s="29" t="str">
        <f>IF(B409=0,"EMPTY",Setup!$D$11*((PI()*2*Setup!$B$22*A409*B409)/33000))</f>
        <v>EMPTY</v>
      </c>
      <c r="D409" s="30" t="str">
        <f>IF(Setup!$H$2=0,"EMPTY",IF(B409=0,"EMPTY",B409*Setup!$B$22*Setup!$G$6*Setup!$D$11))</f>
        <v>EMPTY</v>
      </c>
      <c r="E409" s="31">
        <f>IF(Setup!$H$2=0,-1,IF(A409=0,-1,A409*1/(Setup!$G$6)))</f>
        <v>-1</v>
      </c>
      <c r="F409" s="31"/>
    </row>
    <row r="410" spans="1:6" ht="15.75" x14ac:dyDescent="0.25">
      <c r="A410"/>
      <c r="B410"/>
      <c r="C410" s="29" t="str">
        <f>IF(B410=0,"EMPTY",Setup!$D$11*((PI()*2*Setup!$B$22*A410*B410)/33000))</f>
        <v>EMPTY</v>
      </c>
      <c r="D410" s="30" t="str">
        <f>IF(Setup!$H$2=0,"EMPTY",IF(B410=0,"EMPTY",B410*Setup!$B$22*Setup!$G$6*Setup!$D$11))</f>
        <v>EMPTY</v>
      </c>
      <c r="E410" s="31">
        <f>IF(Setup!$H$2=0,-1,IF(A410=0,-1,A410*1/(Setup!$G$6)))</f>
        <v>-1</v>
      </c>
      <c r="F410" s="31"/>
    </row>
    <row r="411" spans="1:6" ht="15.75" x14ac:dyDescent="0.25">
      <c r="A411"/>
      <c r="B411"/>
      <c r="C411" s="29" t="str">
        <f>IF(B411=0,"EMPTY",Setup!$D$11*((PI()*2*Setup!$B$22*A411*B411)/33000))</f>
        <v>EMPTY</v>
      </c>
      <c r="D411" s="30" t="str">
        <f>IF(Setup!$H$2=0,"EMPTY",IF(B411=0,"EMPTY",B411*Setup!$B$22*Setup!$G$6*Setup!$D$11))</f>
        <v>EMPTY</v>
      </c>
      <c r="E411" s="31">
        <f>IF(Setup!$H$2=0,-1,IF(A411=0,-1,A411*1/(Setup!$G$6)))</f>
        <v>-1</v>
      </c>
      <c r="F411" s="31"/>
    </row>
    <row r="412" spans="1:6" ht="15.75" x14ac:dyDescent="0.25">
      <c r="A412"/>
      <c r="B412"/>
      <c r="C412" s="29" t="str">
        <f>IF(B412=0,"EMPTY",Setup!$D$11*((PI()*2*Setup!$B$22*A412*B412)/33000))</f>
        <v>EMPTY</v>
      </c>
      <c r="D412" s="30" t="str">
        <f>IF(Setup!$H$2=0,"EMPTY",IF(B412=0,"EMPTY",B412*Setup!$B$22*Setup!$G$6*Setup!$D$11))</f>
        <v>EMPTY</v>
      </c>
      <c r="E412" s="31">
        <f>IF(Setup!$H$2=0,-1,IF(A412=0,-1,A412*1/(Setup!$G$6)))</f>
        <v>-1</v>
      </c>
      <c r="F412" s="31"/>
    </row>
    <row r="413" spans="1:6" ht="15.75" x14ac:dyDescent="0.25">
      <c r="A413"/>
      <c r="B413"/>
      <c r="C413" s="29" t="str">
        <f>IF(B413=0,"EMPTY",Setup!$D$11*((PI()*2*Setup!$B$22*A413*B413)/33000))</f>
        <v>EMPTY</v>
      </c>
      <c r="D413" s="30" t="str">
        <f>IF(Setup!$H$2=0,"EMPTY",IF(B413=0,"EMPTY",B413*Setup!$B$22*Setup!$G$6*Setup!$D$11))</f>
        <v>EMPTY</v>
      </c>
      <c r="E413" s="31">
        <f>IF(Setup!$H$2=0,-1,IF(A413=0,-1,A413*1/(Setup!$G$6)))</f>
        <v>-1</v>
      </c>
      <c r="F413" s="31"/>
    </row>
    <row r="414" spans="1:6" ht="15.75" x14ac:dyDescent="0.25">
      <c r="A414"/>
      <c r="B414"/>
      <c r="C414" s="29" t="str">
        <f>IF(B414=0,"EMPTY",Setup!$D$11*((PI()*2*Setup!$B$22*A414*B414)/33000))</f>
        <v>EMPTY</v>
      </c>
      <c r="D414" s="30" t="str">
        <f>IF(Setup!$H$2=0,"EMPTY",IF(B414=0,"EMPTY",B414*Setup!$B$22*Setup!$G$6*Setup!$D$11))</f>
        <v>EMPTY</v>
      </c>
      <c r="E414" s="31">
        <f>IF(Setup!$H$2=0,-1,IF(A414=0,-1,A414*1/(Setup!$G$6)))</f>
        <v>-1</v>
      </c>
      <c r="F414" s="31"/>
    </row>
    <row r="415" spans="1:6" ht="15.75" x14ac:dyDescent="0.25">
      <c r="A415"/>
      <c r="B415"/>
      <c r="C415" s="29" t="str">
        <f>IF(B415=0,"EMPTY",Setup!$D$11*((PI()*2*Setup!$B$22*A415*B415)/33000))</f>
        <v>EMPTY</v>
      </c>
      <c r="D415" s="30" t="str">
        <f>IF(Setup!$H$2=0,"EMPTY",IF(B415=0,"EMPTY",B415*Setup!$B$22*Setup!$G$6*Setup!$D$11))</f>
        <v>EMPTY</v>
      </c>
      <c r="E415" s="31">
        <f>IF(Setup!$H$2=0,-1,IF(A415=0,-1,A415*1/(Setup!$G$6)))</f>
        <v>-1</v>
      </c>
      <c r="F415" s="31"/>
    </row>
    <row r="416" spans="1:6" ht="15.75" x14ac:dyDescent="0.25">
      <c r="A416"/>
      <c r="B416"/>
      <c r="C416" s="29" t="str">
        <f>IF(B416=0,"EMPTY",Setup!$D$11*((PI()*2*Setup!$B$22*A416*B416)/33000))</f>
        <v>EMPTY</v>
      </c>
      <c r="D416" s="30" t="str">
        <f>IF(Setup!$H$2=0,"EMPTY",IF(B416=0,"EMPTY",B416*Setup!$B$22*Setup!$G$6*Setup!$D$11))</f>
        <v>EMPTY</v>
      </c>
      <c r="E416" s="31">
        <f>IF(Setup!$H$2=0,-1,IF(A416=0,-1,A416*1/(Setup!$G$6)))</f>
        <v>-1</v>
      </c>
      <c r="F416" s="31"/>
    </row>
    <row r="417" spans="1:6" ht="15.75" x14ac:dyDescent="0.25">
      <c r="A417"/>
      <c r="B417"/>
      <c r="C417" s="29" t="str">
        <f>IF(B417=0,"EMPTY",Setup!$D$11*((PI()*2*Setup!$B$22*A417*B417)/33000))</f>
        <v>EMPTY</v>
      </c>
      <c r="D417" s="30" t="str">
        <f>IF(Setup!$H$2=0,"EMPTY",IF(B417=0,"EMPTY",B417*Setup!$B$22*Setup!$G$6*Setup!$D$11))</f>
        <v>EMPTY</v>
      </c>
      <c r="E417" s="31">
        <f>IF(Setup!$H$2=0,-1,IF(A417=0,-1,A417*1/(Setup!$G$6)))</f>
        <v>-1</v>
      </c>
      <c r="F417" s="31"/>
    </row>
    <row r="418" spans="1:6" ht="15.75" x14ac:dyDescent="0.25">
      <c r="A418"/>
      <c r="B418"/>
      <c r="C418" s="29" t="str">
        <f>IF(B418=0,"EMPTY",Setup!$D$11*((PI()*2*Setup!$B$22*A418*B418)/33000))</f>
        <v>EMPTY</v>
      </c>
      <c r="D418" s="30" t="str">
        <f>IF(Setup!$H$2=0,"EMPTY",IF(B418=0,"EMPTY",B418*Setup!$B$22*Setup!$G$6*Setup!$D$11))</f>
        <v>EMPTY</v>
      </c>
      <c r="E418" s="31">
        <f>IF(Setup!$H$2=0,-1,IF(A418=0,-1,A418*1/(Setup!$G$6)))</f>
        <v>-1</v>
      </c>
      <c r="F418" s="31"/>
    </row>
    <row r="419" spans="1:6" ht="15.75" x14ac:dyDescent="0.25">
      <c r="A419"/>
      <c r="B419"/>
      <c r="C419" s="29" t="str">
        <f>IF(B419=0,"EMPTY",Setup!$D$11*((PI()*2*Setup!$B$22*A419*B419)/33000))</f>
        <v>EMPTY</v>
      </c>
      <c r="D419" s="30" t="str">
        <f>IF(Setup!$H$2=0,"EMPTY",IF(B419=0,"EMPTY",B419*Setup!$B$22*Setup!$G$6*Setup!$D$11))</f>
        <v>EMPTY</v>
      </c>
      <c r="E419" s="31">
        <f>IF(Setup!$H$2=0,-1,IF(A419=0,-1,A419*1/(Setup!$G$6)))</f>
        <v>-1</v>
      </c>
      <c r="F419" s="31"/>
    </row>
    <row r="420" spans="1:6" ht="15.75" x14ac:dyDescent="0.25">
      <c r="A420"/>
      <c r="B420"/>
      <c r="C420" s="29" t="str">
        <f>IF(B420=0,"EMPTY",Setup!$D$11*((PI()*2*Setup!$B$22*A420*B420)/33000))</f>
        <v>EMPTY</v>
      </c>
      <c r="D420" s="30" t="str">
        <f>IF(Setup!$H$2=0,"EMPTY",IF(B420=0,"EMPTY",B420*Setup!$B$22*Setup!$G$6*Setup!$D$11))</f>
        <v>EMPTY</v>
      </c>
      <c r="E420" s="31">
        <f>IF(Setup!$H$2=0,-1,IF(A420=0,-1,A420*1/(Setup!$G$6)))</f>
        <v>-1</v>
      </c>
      <c r="F420" s="31"/>
    </row>
    <row r="421" spans="1:6" ht="15.75" x14ac:dyDescent="0.25">
      <c r="A421"/>
      <c r="B421"/>
      <c r="C421" s="29" t="str">
        <f>IF(B421=0,"EMPTY",Setup!$D$11*((PI()*2*Setup!$B$22*A421*B421)/33000))</f>
        <v>EMPTY</v>
      </c>
      <c r="D421" s="30" t="str">
        <f>IF(Setup!$H$2=0,"EMPTY",IF(B421=0,"EMPTY",B421*Setup!$B$22*Setup!$G$6*Setup!$D$11))</f>
        <v>EMPTY</v>
      </c>
      <c r="E421" s="31">
        <f>IF(Setup!$H$2=0,-1,IF(A421=0,-1,A421*1/(Setup!$G$6)))</f>
        <v>-1</v>
      </c>
      <c r="F421" s="31"/>
    </row>
    <row r="422" spans="1:6" ht="15.75" x14ac:dyDescent="0.25">
      <c r="A422"/>
      <c r="B422"/>
      <c r="C422" s="29" t="str">
        <f>IF(B422=0,"EMPTY",Setup!$D$11*((PI()*2*Setup!$B$22*A422*B422)/33000))</f>
        <v>EMPTY</v>
      </c>
      <c r="D422" s="30" t="str">
        <f>IF(Setup!$H$2=0,"EMPTY",IF(B422=0,"EMPTY",B422*Setup!$B$22*Setup!$G$6*Setup!$D$11))</f>
        <v>EMPTY</v>
      </c>
      <c r="E422" s="31">
        <f>IF(Setup!$H$2=0,-1,IF(A422=0,-1,A422*1/(Setup!$G$6)))</f>
        <v>-1</v>
      </c>
      <c r="F422" s="31"/>
    </row>
    <row r="423" spans="1:6" ht="15.75" x14ac:dyDescent="0.25">
      <c r="A423"/>
      <c r="B423"/>
      <c r="C423" s="29" t="str">
        <f>IF(B423=0,"EMPTY",Setup!$D$11*((PI()*2*Setup!$B$22*A423*B423)/33000))</f>
        <v>EMPTY</v>
      </c>
      <c r="D423" s="30" t="str">
        <f>IF(Setup!$H$2=0,"EMPTY",IF(B423=0,"EMPTY",B423*Setup!$B$22*Setup!$G$6*Setup!$D$11))</f>
        <v>EMPTY</v>
      </c>
      <c r="E423" s="31">
        <f>IF(Setup!$H$2=0,-1,IF(A423=0,-1,A423*1/(Setup!$G$6)))</f>
        <v>-1</v>
      </c>
      <c r="F423" s="31"/>
    </row>
    <row r="424" spans="1:6" ht="15.75" x14ac:dyDescent="0.25">
      <c r="A424"/>
      <c r="B424"/>
      <c r="C424" s="29" t="str">
        <f>IF(B424=0,"EMPTY",Setup!$D$11*((PI()*2*Setup!$B$22*A424*B424)/33000))</f>
        <v>EMPTY</v>
      </c>
      <c r="D424" s="30" t="str">
        <f>IF(Setup!$H$2=0,"EMPTY",IF(B424=0,"EMPTY",B424*Setup!$B$22*Setup!$G$6*Setup!$D$11))</f>
        <v>EMPTY</v>
      </c>
      <c r="E424" s="31">
        <f>IF(Setup!$H$2=0,-1,IF(A424=0,-1,A424*1/(Setup!$G$6)))</f>
        <v>-1</v>
      </c>
      <c r="F424" s="31"/>
    </row>
    <row r="425" spans="1:6" ht="15.75" x14ac:dyDescent="0.25">
      <c r="A425"/>
      <c r="B425"/>
      <c r="C425" s="29" t="str">
        <f>IF(B425=0,"EMPTY",Setup!$D$11*((PI()*2*Setup!$B$22*A425*B425)/33000))</f>
        <v>EMPTY</v>
      </c>
      <c r="D425" s="30" t="str">
        <f>IF(Setup!$H$2=0,"EMPTY",IF(B425=0,"EMPTY",B425*Setup!$B$22*Setup!$G$6*Setup!$D$11))</f>
        <v>EMPTY</v>
      </c>
      <c r="E425" s="31">
        <f>IF(Setup!$H$2=0,-1,IF(A425=0,-1,A425*1/(Setup!$G$6)))</f>
        <v>-1</v>
      </c>
      <c r="F425" s="31"/>
    </row>
    <row r="426" spans="1:6" ht="15.75" x14ac:dyDescent="0.25">
      <c r="A426"/>
      <c r="B426"/>
      <c r="C426" s="29" t="str">
        <f>IF(B426=0,"EMPTY",Setup!$D$11*((PI()*2*Setup!$B$22*A426*B426)/33000))</f>
        <v>EMPTY</v>
      </c>
      <c r="D426" s="30" t="str">
        <f>IF(Setup!$H$2=0,"EMPTY",IF(B426=0,"EMPTY",B426*Setup!$B$22*Setup!$G$6*Setup!$D$11))</f>
        <v>EMPTY</v>
      </c>
      <c r="E426" s="31">
        <f>IF(Setup!$H$2=0,-1,IF(A426=0,-1,A426*1/(Setup!$G$6)))</f>
        <v>-1</v>
      </c>
      <c r="F426" s="31"/>
    </row>
    <row r="427" spans="1:6" ht="15.75" x14ac:dyDescent="0.25">
      <c r="A427"/>
      <c r="B427"/>
      <c r="C427" s="29" t="str">
        <f>IF(B427=0,"EMPTY",Setup!$D$11*((PI()*2*Setup!$B$22*A427*B427)/33000))</f>
        <v>EMPTY</v>
      </c>
      <c r="D427" s="30" t="str">
        <f>IF(Setup!$H$2=0,"EMPTY",IF(B427=0,"EMPTY",B427*Setup!$B$22*Setup!$G$6*Setup!$D$11))</f>
        <v>EMPTY</v>
      </c>
      <c r="E427" s="31">
        <f>IF(Setup!$H$2=0,-1,IF(A427=0,-1,A427*1/(Setup!$G$6)))</f>
        <v>-1</v>
      </c>
      <c r="F427" s="31"/>
    </row>
    <row r="428" spans="1:6" ht="15.75" x14ac:dyDescent="0.25">
      <c r="A428"/>
      <c r="B428"/>
      <c r="C428" s="29" t="str">
        <f>IF(B428=0,"EMPTY",Setup!$D$11*((PI()*2*Setup!$B$22*A428*B428)/33000))</f>
        <v>EMPTY</v>
      </c>
      <c r="D428" s="30" t="str">
        <f>IF(Setup!$H$2=0,"EMPTY",IF(B428=0,"EMPTY",B428*Setup!$B$22*Setup!$G$6*Setup!$D$11))</f>
        <v>EMPTY</v>
      </c>
      <c r="E428" s="31">
        <f>IF(Setup!$H$2=0,-1,IF(A428=0,-1,A428*1/(Setup!$G$6)))</f>
        <v>-1</v>
      </c>
      <c r="F428" s="31"/>
    </row>
    <row r="429" spans="1:6" ht="15.75" x14ac:dyDescent="0.25">
      <c r="A429"/>
      <c r="B429"/>
      <c r="C429" s="29" t="str">
        <f>IF(B429=0,"EMPTY",Setup!$D$11*((PI()*2*Setup!$B$22*A429*B429)/33000))</f>
        <v>EMPTY</v>
      </c>
      <c r="D429" s="30" t="str">
        <f>IF(Setup!$H$2=0,"EMPTY",IF(B429=0,"EMPTY",B429*Setup!$B$22*Setup!$G$6*Setup!$D$11))</f>
        <v>EMPTY</v>
      </c>
      <c r="E429" s="31">
        <f>IF(Setup!$H$2=0,-1,IF(A429=0,-1,A429*1/(Setup!$G$6)))</f>
        <v>-1</v>
      </c>
      <c r="F429" s="31"/>
    </row>
    <row r="430" spans="1:6" ht="15.75" x14ac:dyDescent="0.25">
      <c r="A430"/>
      <c r="B430"/>
      <c r="C430" s="29" t="str">
        <f>IF(B430=0,"EMPTY",Setup!$D$11*((PI()*2*Setup!$B$22*A430*B430)/33000))</f>
        <v>EMPTY</v>
      </c>
      <c r="D430" s="30" t="str">
        <f>IF(Setup!$H$2=0,"EMPTY",IF(B430=0,"EMPTY",B430*Setup!$B$22*Setup!$G$6*Setup!$D$11))</f>
        <v>EMPTY</v>
      </c>
      <c r="E430" s="31">
        <f>IF(Setup!$H$2=0,-1,IF(A430=0,-1,A430*1/(Setup!$G$6)))</f>
        <v>-1</v>
      </c>
      <c r="F430" s="31"/>
    </row>
    <row r="431" spans="1:6" ht="15.75" x14ac:dyDescent="0.25">
      <c r="A431"/>
      <c r="B431"/>
      <c r="C431" s="29" t="str">
        <f>IF(B431=0,"EMPTY",Setup!$D$11*((PI()*2*Setup!$B$22*A431*B431)/33000))</f>
        <v>EMPTY</v>
      </c>
      <c r="D431" s="30" t="str">
        <f>IF(Setup!$H$2=0,"EMPTY",IF(B431=0,"EMPTY",B431*Setup!$B$22*Setup!$G$6*Setup!$D$11))</f>
        <v>EMPTY</v>
      </c>
      <c r="E431" s="31">
        <f>IF(Setup!$H$2=0,-1,IF(A431=0,-1,A431*1/(Setup!$G$6)))</f>
        <v>-1</v>
      </c>
      <c r="F431" s="31"/>
    </row>
    <row r="432" spans="1:6" ht="15.75" x14ac:dyDescent="0.25">
      <c r="A432"/>
      <c r="B432"/>
      <c r="C432" s="29" t="str">
        <f>IF(B432=0,"EMPTY",Setup!$D$11*((PI()*2*Setup!$B$22*A432*B432)/33000))</f>
        <v>EMPTY</v>
      </c>
      <c r="D432" s="30" t="str">
        <f>IF(Setup!$H$2=0,"EMPTY",IF(B432=0,"EMPTY",B432*Setup!$B$22*Setup!$G$6*Setup!$D$11))</f>
        <v>EMPTY</v>
      </c>
      <c r="E432" s="31">
        <f>IF(Setup!$H$2=0,-1,IF(A432=0,-1,A432*1/(Setup!$G$6)))</f>
        <v>-1</v>
      </c>
      <c r="F432" s="31"/>
    </row>
    <row r="433" spans="1:6" ht="15.75" x14ac:dyDescent="0.25">
      <c r="A433"/>
      <c r="B433"/>
      <c r="C433" s="29" t="str">
        <f>IF(B433=0,"EMPTY",Setup!$D$11*((PI()*2*Setup!$B$22*A433*B433)/33000))</f>
        <v>EMPTY</v>
      </c>
      <c r="D433" s="30" t="str">
        <f>IF(Setup!$H$2=0,"EMPTY",IF(B433=0,"EMPTY",B433*Setup!$B$22*Setup!$G$6*Setup!$D$11))</f>
        <v>EMPTY</v>
      </c>
      <c r="E433" s="31">
        <f>IF(Setup!$H$2=0,-1,IF(A433=0,-1,A433*1/(Setup!$G$6)))</f>
        <v>-1</v>
      </c>
      <c r="F433" s="31"/>
    </row>
    <row r="434" spans="1:6" ht="15.75" x14ac:dyDescent="0.25">
      <c r="A434"/>
      <c r="B434"/>
      <c r="C434" s="29" t="str">
        <f>IF(B434=0,"EMPTY",Setup!$D$11*((PI()*2*Setup!$B$22*A434*B434)/33000))</f>
        <v>EMPTY</v>
      </c>
      <c r="D434" s="30" t="str">
        <f>IF(Setup!$H$2=0,"EMPTY",IF(B434=0,"EMPTY",B434*Setup!$B$22*Setup!$G$6*Setup!$D$11))</f>
        <v>EMPTY</v>
      </c>
      <c r="E434" s="31">
        <f>IF(Setup!$H$2=0,-1,IF(A434=0,-1,A434*1/(Setup!$G$6)))</f>
        <v>-1</v>
      </c>
      <c r="F434" s="31"/>
    </row>
    <row r="435" spans="1:6" ht="15.75" x14ac:dyDescent="0.25">
      <c r="A435"/>
      <c r="B435"/>
      <c r="C435" s="29" t="str">
        <f>IF(B435=0,"EMPTY",Setup!$D$11*((PI()*2*Setup!$B$22*A435*B435)/33000))</f>
        <v>EMPTY</v>
      </c>
      <c r="D435" s="30" t="str">
        <f>IF(Setup!$H$2=0,"EMPTY",IF(B435=0,"EMPTY",B435*Setup!$B$22*Setup!$G$6*Setup!$D$11))</f>
        <v>EMPTY</v>
      </c>
      <c r="E435" s="31">
        <f>IF(Setup!$H$2=0,-1,IF(A435=0,-1,A435*1/(Setup!$G$6)))</f>
        <v>-1</v>
      </c>
      <c r="F435" s="31"/>
    </row>
    <row r="436" spans="1:6" ht="15.75" x14ac:dyDescent="0.25">
      <c r="A436"/>
      <c r="B436"/>
      <c r="C436" s="29" t="str">
        <f>IF(B436=0,"EMPTY",Setup!$D$11*((PI()*2*Setup!$B$22*A436*B436)/33000))</f>
        <v>EMPTY</v>
      </c>
      <c r="D436" s="30" t="str">
        <f>IF(Setup!$H$2=0,"EMPTY",IF(B436=0,"EMPTY",B436*Setup!$B$22*Setup!$G$6*Setup!$D$11))</f>
        <v>EMPTY</v>
      </c>
      <c r="E436" s="31">
        <f>IF(Setup!$H$2=0,-1,IF(A436=0,-1,A436*1/(Setup!$G$6)))</f>
        <v>-1</v>
      </c>
      <c r="F436" s="31"/>
    </row>
    <row r="437" spans="1:6" ht="15.75" x14ac:dyDescent="0.25">
      <c r="A437"/>
      <c r="B437"/>
      <c r="C437" s="29" t="str">
        <f>IF(B437=0,"EMPTY",Setup!$D$11*((PI()*2*Setup!$B$22*A437*B437)/33000))</f>
        <v>EMPTY</v>
      </c>
      <c r="D437" s="30" t="str">
        <f>IF(Setup!$H$2=0,"EMPTY",IF(B437=0,"EMPTY",B437*Setup!$B$22*Setup!$G$6*Setup!$D$11))</f>
        <v>EMPTY</v>
      </c>
      <c r="E437" s="31">
        <f>IF(Setup!$H$2=0,-1,IF(A437=0,-1,A437*1/(Setup!$G$6)))</f>
        <v>-1</v>
      </c>
      <c r="F437" s="31"/>
    </row>
    <row r="438" spans="1:6" ht="15.75" x14ac:dyDescent="0.25">
      <c r="A438"/>
      <c r="B438"/>
      <c r="C438" s="29" t="str">
        <f>IF(B438=0,"EMPTY",Setup!$D$11*((PI()*2*Setup!$B$22*A438*B438)/33000))</f>
        <v>EMPTY</v>
      </c>
      <c r="D438" s="30" t="str">
        <f>IF(Setup!$H$2=0,"EMPTY",IF(B438=0,"EMPTY",B438*Setup!$B$22*Setup!$G$6*Setup!$D$11))</f>
        <v>EMPTY</v>
      </c>
      <c r="E438" s="31">
        <f>IF(Setup!$H$2=0,-1,IF(A438=0,-1,A438*1/(Setup!$G$6)))</f>
        <v>-1</v>
      </c>
      <c r="F438" s="31"/>
    </row>
    <row r="439" spans="1:6" ht="15.75" x14ac:dyDescent="0.25">
      <c r="A439"/>
      <c r="B439"/>
      <c r="C439" s="29" t="str">
        <f>IF(B439=0,"EMPTY",Setup!$D$11*((PI()*2*Setup!$B$22*A439*B439)/33000))</f>
        <v>EMPTY</v>
      </c>
      <c r="D439" s="30" t="str">
        <f>IF(Setup!$H$2=0,"EMPTY",IF(B439=0,"EMPTY",B439*Setup!$B$22*Setup!$G$6*Setup!$D$11))</f>
        <v>EMPTY</v>
      </c>
      <c r="E439" s="31">
        <f>IF(Setup!$H$2=0,-1,IF(A439=0,-1,A439*1/(Setup!$G$6)))</f>
        <v>-1</v>
      </c>
      <c r="F439" s="31"/>
    </row>
    <row r="440" spans="1:6" ht="15.75" x14ac:dyDescent="0.25">
      <c r="A440"/>
      <c r="B440"/>
      <c r="C440" s="29" t="str">
        <f>IF(B440=0,"EMPTY",Setup!$D$11*((PI()*2*Setup!$B$22*A440*B440)/33000))</f>
        <v>EMPTY</v>
      </c>
      <c r="D440" s="30" t="str">
        <f>IF(Setup!$H$2=0,"EMPTY",IF(B440=0,"EMPTY",B440*Setup!$B$22*Setup!$G$6*Setup!$D$11))</f>
        <v>EMPTY</v>
      </c>
      <c r="E440" s="31">
        <f>IF(Setup!$H$2=0,-1,IF(A440=0,-1,A440*1/(Setup!$G$6)))</f>
        <v>-1</v>
      </c>
      <c r="F440" s="31"/>
    </row>
    <row r="441" spans="1:6" ht="15.75" x14ac:dyDescent="0.25">
      <c r="A441"/>
      <c r="B441"/>
      <c r="C441" s="29" t="str">
        <f>IF(B441=0,"EMPTY",Setup!$D$11*((PI()*2*Setup!$B$22*A441*B441)/33000))</f>
        <v>EMPTY</v>
      </c>
      <c r="D441" s="30" t="str">
        <f>IF(Setup!$H$2=0,"EMPTY",IF(B441=0,"EMPTY",B441*Setup!$B$22*Setup!$G$6*Setup!$D$11))</f>
        <v>EMPTY</v>
      </c>
      <c r="E441" s="31">
        <f>IF(Setup!$H$2=0,-1,IF(A441=0,-1,A441*1/(Setup!$G$6)))</f>
        <v>-1</v>
      </c>
      <c r="F441" s="31"/>
    </row>
    <row r="442" spans="1:6" ht="15.75" x14ac:dyDescent="0.25">
      <c r="A442"/>
      <c r="B442"/>
      <c r="C442" s="29" t="str">
        <f>IF(B442=0,"EMPTY",Setup!$D$11*((PI()*2*Setup!$B$22*A442*B442)/33000))</f>
        <v>EMPTY</v>
      </c>
      <c r="D442" s="30" t="str">
        <f>IF(Setup!$H$2=0,"EMPTY",IF(B442=0,"EMPTY",B442*Setup!$B$22*Setup!$G$6*Setup!$D$11))</f>
        <v>EMPTY</v>
      </c>
      <c r="E442" s="31">
        <f>IF(Setup!$H$2=0,-1,IF(A442=0,-1,A442*1/(Setup!$G$6)))</f>
        <v>-1</v>
      </c>
      <c r="F442" s="31"/>
    </row>
    <row r="443" spans="1:6" ht="15.75" x14ac:dyDescent="0.25">
      <c r="A443"/>
      <c r="B443"/>
      <c r="C443" s="29" t="str">
        <f>IF(B443=0,"EMPTY",Setup!$D$11*((PI()*2*Setup!$B$22*A443*B443)/33000))</f>
        <v>EMPTY</v>
      </c>
      <c r="D443" s="30" t="str">
        <f>IF(Setup!$H$2=0,"EMPTY",IF(B443=0,"EMPTY",B443*Setup!$B$22*Setup!$G$6*Setup!$D$11))</f>
        <v>EMPTY</v>
      </c>
      <c r="E443" s="31">
        <f>IF(Setup!$H$2=0,-1,IF(A443=0,-1,A443*1/(Setup!$G$6)))</f>
        <v>-1</v>
      </c>
      <c r="F443" s="31"/>
    </row>
    <row r="444" spans="1:6" ht="15.75" x14ac:dyDescent="0.25">
      <c r="A444"/>
      <c r="B444"/>
      <c r="C444" s="29" t="str">
        <f>IF(B444=0,"EMPTY",Setup!$D$11*((PI()*2*Setup!$B$22*A444*B444)/33000))</f>
        <v>EMPTY</v>
      </c>
      <c r="D444" s="30" t="str">
        <f>IF(Setup!$H$2=0,"EMPTY",IF(B444=0,"EMPTY",B444*Setup!$B$22*Setup!$G$6*Setup!$D$11))</f>
        <v>EMPTY</v>
      </c>
      <c r="E444" s="31">
        <f>IF(Setup!$H$2=0,-1,IF(A444=0,-1,A444*1/(Setup!$G$6)))</f>
        <v>-1</v>
      </c>
      <c r="F444" s="31"/>
    </row>
    <row r="445" spans="1:6" ht="15.75" x14ac:dyDescent="0.25">
      <c r="A445"/>
      <c r="B445"/>
      <c r="C445" s="29" t="str">
        <f>IF(B445=0,"EMPTY",Setup!$D$11*((PI()*2*Setup!$B$22*A445*B445)/33000))</f>
        <v>EMPTY</v>
      </c>
      <c r="D445" s="30" t="str">
        <f>IF(Setup!$H$2=0,"EMPTY",IF(B445=0,"EMPTY",B445*Setup!$B$22*Setup!$G$6*Setup!$D$11))</f>
        <v>EMPTY</v>
      </c>
      <c r="E445" s="31">
        <f>IF(Setup!$H$2=0,-1,IF(A445=0,-1,A445*1/(Setup!$G$6)))</f>
        <v>-1</v>
      </c>
      <c r="F445" s="31"/>
    </row>
    <row r="446" spans="1:6" ht="15.75" x14ac:dyDescent="0.25">
      <c r="A446"/>
      <c r="B446"/>
      <c r="C446" s="29" t="str">
        <f>IF(B446=0,"EMPTY",Setup!$D$11*((PI()*2*Setup!$B$22*A446*B446)/33000))</f>
        <v>EMPTY</v>
      </c>
      <c r="D446" s="30" t="str">
        <f>IF(Setup!$H$2=0,"EMPTY",IF(B446=0,"EMPTY",B446*Setup!$B$22*Setup!$G$6*Setup!$D$11))</f>
        <v>EMPTY</v>
      </c>
      <c r="E446" s="31">
        <f>IF(Setup!$H$2=0,-1,IF(A446=0,-1,A446*1/(Setup!$G$6)))</f>
        <v>-1</v>
      </c>
      <c r="F446" s="31"/>
    </row>
    <row r="447" spans="1:6" ht="15.75" x14ac:dyDescent="0.25">
      <c r="A447"/>
      <c r="B447"/>
      <c r="C447" s="29" t="str">
        <f>IF(B447=0,"EMPTY",Setup!$D$11*((PI()*2*Setup!$B$22*A447*B447)/33000))</f>
        <v>EMPTY</v>
      </c>
      <c r="D447" s="30" t="str">
        <f>IF(Setup!$H$2=0,"EMPTY",IF(B447=0,"EMPTY",B447*Setup!$B$22*Setup!$G$6*Setup!$D$11))</f>
        <v>EMPTY</v>
      </c>
      <c r="E447" s="31">
        <f>IF(Setup!$H$2=0,-1,IF(A447=0,-1,A447*1/(Setup!$G$6)))</f>
        <v>-1</v>
      </c>
      <c r="F447" s="31"/>
    </row>
    <row r="448" spans="1:6" ht="15.75" x14ac:dyDescent="0.25">
      <c r="A448"/>
      <c r="B448"/>
      <c r="C448" s="29" t="str">
        <f>IF(B448=0,"EMPTY",Setup!$D$11*((PI()*2*Setup!$B$22*A448*B448)/33000))</f>
        <v>EMPTY</v>
      </c>
      <c r="D448" s="30" t="str">
        <f>IF(Setup!$H$2=0,"EMPTY",IF(B448=0,"EMPTY",B448*Setup!$B$22*Setup!$G$6*Setup!$D$11))</f>
        <v>EMPTY</v>
      </c>
      <c r="E448" s="31">
        <f>IF(Setup!$H$2=0,-1,IF(A448=0,-1,A448*1/(Setup!$G$6)))</f>
        <v>-1</v>
      </c>
      <c r="F448" s="31"/>
    </row>
    <row r="449" spans="1:6" ht="15.75" x14ac:dyDescent="0.25">
      <c r="A449"/>
      <c r="B449"/>
      <c r="C449" s="29" t="str">
        <f>IF(B449=0,"EMPTY",Setup!$D$11*((PI()*2*Setup!$B$22*A449*B449)/33000))</f>
        <v>EMPTY</v>
      </c>
      <c r="D449" s="30" t="str">
        <f>IF(Setup!$H$2=0,"EMPTY",IF(B449=0,"EMPTY",B449*Setup!$B$22*Setup!$G$6*Setup!$D$11))</f>
        <v>EMPTY</v>
      </c>
      <c r="E449" s="31">
        <f>IF(Setup!$H$2=0,-1,IF(A449=0,-1,A449*1/(Setup!$G$6)))</f>
        <v>-1</v>
      </c>
      <c r="F449" s="31"/>
    </row>
    <row r="450" spans="1:6" ht="15.75" x14ac:dyDescent="0.25">
      <c r="A450"/>
      <c r="B450"/>
      <c r="C450" s="29" t="str">
        <f>IF(B450=0,"EMPTY",Setup!$D$11*((PI()*2*Setup!$B$22*A450*B450)/33000))</f>
        <v>EMPTY</v>
      </c>
      <c r="D450" s="30" t="str">
        <f>IF(Setup!$H$2=0,"EMPTY",IF(B450=0,"EMPTY",B450*Setup!$B$22*Setup!$G$6*Setup!$D$11))</f>
        <v>EMPTY</v>
      </c>
      <c r="E450" s="31">
        <f>IF(Setup!$H$2=0,-1,IF(A450=0,-1,A450*1/(Setup!$G$6)))</f>
        <v>-1</v>
      </c>
      <c r="F450" s="31"/>
    </row>
    <row r="451" spans="1:6" ht="15.75" x14ac:dyDescent="0.25">
      <c r="A451"/>
      <c r="B451"/>
      <c r="C451" s="29" t="str">
        <f>IF(B451=0,"EMPTY",Setup!$D$11*((PI()*2*Setup!$B$22*A451*B451)/33000))</f>
        <v>EMPTY</v>
      </c>
      <c r="D451" s="30" t="str">
        <f>IF(Setup!$H$2=0,"EMPTY",IF(B451=0,"EMPTY",B451*Setup!$B$22*Setup!$G$6*Setup!$D$11))</f>
        <v>EMPTY</v>
      </c>
      <c r="E451" s="31">
        <f>IF(Setup!$H$2=0,-1,IF(A451=0,-1,A451*1/(Setup!$G$6)))</f>
        <v>-1</v>
      </c>
      <c r="F451" s="31"/>
    </row>
    <row r="452" spans="1:6" ht="15.75" x14ac:dyDescent="0.25">
      <c r="A452"/>
      <c r="B452"/>
      <c r="C452" s="29" t="str">
        <f>IF(B452=0,"EMPTY",Setup!$D$11*((PI()*2*Setup!$B$22*A452*B452)/33000))</f>
        <v>EMPTY</v>
      </c>
      <c r="D452" s="30" t="str">
        <f>IF(Setup!$H$2=0,"EMPTY",IF(B452=0,"EMPTY",B452*Setup!$B$22*Setup!$G$6*Setup!$D$11))</f>
        <v>EMPTY</v>
      </c>
      <c r="E452" s="31">
        <f>IF(Setup!$H$2=0,-1,IF(A452=0,-1,A452*1/(Setup!$G$6)))</f>
        <v>-1</v>
      </c>
      <c r="F452" s="31"/>
    </row>
    <row r="453" spans="1:6" ht="15.75" x14ac:dyDescent="0.25">
      <c r="A453"/>
      <c r="B453"/>
      <c r="C453" s="29" t="str">
        <f>IF(B453=0,"EMPTY",Setup!$D$11*((PI()*2*Setup!$B$22*A453*B453)/33000))</f>
        <v>EMPTY</v>
      </c>
      <c r="D453" s="30" t="str">
        <f>IF(Setup!$H$2=0,"EMPTY",IF(B453=0,"EMPTY",B453*Setup!$B$22*Setup!$G$6*Setup!$D$11))</f>
        <v>EMPTY</v>
      </c>
      <c r="E453" s="31">
        <f>IF(Setup!$H$2=0,-1,IF(A453=0,-1,A453*1/(Setup!$G$6)))</f>
        <v>-1</v>
      </c>
      <c r="F453" s="31"/>
    </row>
    <row r="454" spans="1:6" ht="15.75" x14ac:dyDescent="0.25">
      <c r="A454"/>
      <c r="B454"/>
      <c r="C454" s="29" t="str">
        <f>IF(B454=0,"EMPTY",Setup!$D$11*((PI()*2*Setup!$B$22*A454*B454)/33000))</f>
        <v>EMPTY</v>
      </c>
      <c r="D454" s="30" t="str">
        <f>IF(Setup!$H$2=0,"EMPTY",IF(B454=0,"EMPTY",B454*Setup!$B$22*Setup!$G$6*Setup!$D$11))</f>
        <v>EMPTY</v>
      </c>
      <c r="E454" s="31">
        <f>IF(Setup!$H$2=0,-1,IF(A454=0,-1,A454*1/(Setup!$G$6)))</f>
        <v>-1</v>
      </c>
      <c r="F454" s="31"/>
    </row>
    <row r="455" spans="1:6" ht="15.75" x14ac:dyDescent="0.25">
      <c r="A455"/>
      <c r="B455"/>
      <c r="C455" s="29" t="str">
        <f>IF(B455=0,"EMPTY",Setup!$D$11*((PI()*2*Setup!$B$22*A455*B455)/33000))</f>
        <v>EMPTY</v>
      </c>
      <c r="D455" s="30" t="str">
        <f>IF(Setup!$H$2=0,"EMPTY",IF(B455=0,"EMPTY",B455*Setup!$B$22*Setup!$G$6*Setup!$D$11))</f>
        <v>EMPTY</v>
      </c>
      <c r="E455" s="31">
        <f>IF(Setup!$H$2=0,-1,IF(A455=0,-1,A455*1/(Setup!$G$6)))</f>
        <v>-1</v>
      </c>
      <c r="F455" s="31"/>
    </row>
    <row r="456" spans="1:6" ht="15.75" x14ac:dyDescent="0.25">
      <c r="A456"/>
      <c r="B456"/>
      <c r="C456" s="29" t="str">
        <f>IF(B456=0,"EMPTY",Setup!$D$11*((PI()*2*Setup!$B$22*A456*B456)/33000))</f>
        <v>EMPTY</v>
      </c>
      <c r="D456" s="30" t="str">
        <f>IF(Setup!$H$2=0,"EMPTY",IF(B456=0,"EMPTY",B456*Setup!$B$22*Setup!$G$6*Setup!$D$11))</f>
        <v>EMPTY</v>
      </c>
      <c r="E456" s="31">
        <f>IF(Setup!$H$2=0,-1,IF(A456=0,-1,A456*1/(Setup!$G$6)))</f>
        <v>-1</v>
      </c>
      <c r="F456" s="31"/>
    </row>
    <row r="457" spans="1:6" ht="15.75" x14ac:dyDescent="0.25">
      <c r="A457"/>
      <c r="B457"/>
      <c r="C457" s="29" t="str">
        <f>IF(B457=0,"EMPTY",Setup!$D$11*((PI()*2*Setup!$B$22*A457*B457)/33000))</f>
        <v>EMPTY</v>
      </c>
      <c r="D457" s="30" t="str">
        <f>IF(Setup!$H$2=0,"EMPTY",IF(B457=0,"EMPTY",B457*Setup!$B$22*Setup!$G$6*Setup!$D$11))</f>
        <v>EMPTY</v>
      </c>
      <c r="E457" s="31">
        <f>IF(Setup!$H$2=0,-1,IF(A457=0,-1,A457*1/(Setup!$G$6)))</f>
        <v>-1</v>
      </c>
      <c r="F457" s="31"/>
    </row>
    <row r="458" spans="1:6" ht="15.75" x14ac:dyDescent="0.25">
      <c r="A458"/>
      <c r="B458"/>
      <c r="C458" s="29" t="str">
        <f>IF(B458=0,"EMPTY",Setup!$D$11*((PI()*2*Setup!$B$22*A458*B458)/33000))</f>
        <v>EMPTY</v>
      </c>
      <c r="D458" s="30" t="str">
        <f>IF(Setup!$H$2=0,"EMPTY",IF(B458=0,"EMPTY",B458*Setup!$B$22*Setup!$G$6*Setup!$D$11))</f>
        <v>EMPTY</v>
      </c>
      <c r="E458" s="31">
        <f>IF(Setup!$H$2=0,-1,IF(A458=0,-1,A458*1/(Setup!$G$6)))</f>
        <v>-1</v>
      </c>
      <c r="F458" s="31"/>
    </row>
    <row r="459" spans="1:6" ht="15.75" x14ac:dyDescent="0.25">
      <c r="A459"/>
      <c r="B459"/>
      <c r="C459" s="29" t="str">
        <f>IF(B459=0,"EMPTY",Setup!$D$11*((PI()*2*Setup!$B$22*A459*B459)/33000))</f>
        <v>EMPTY</v>
      </c>
      <c r="D459" s="30" t="str">
        <f>IF(Setup!$H$2=0,"EMPTY",IF(B459=0,"EMPTY",B459*Setup!$B$22*Setup!$G$6*Setup!$D$11))</f>
        <v>EMPTY</v>
      </c>
      <c r="E459" s="31">
        <f>IF(Setup!$H$2=0,-1,IF(A459=0,-1,A459*1/(Setup!$G$6)))</f>
        <v>-1</v>
      </c>
      <c r="F459" s="31"/>
    </row>
    <row r="460" spans="1:6" ht="15.75" x14ac:dyDescent="0.25">
      <c r="A460"/>
      <c r="B460"/>
      <c r="C460" s="29" t="str">
        <f>IF(B460=0,"EMPTY",Setup!$D$11*((PI()*2*Setup!$B$22*A460*B460)/33000))</f>
        <v>EMPTY</v>
      </c>
      <c r="D460" s="30" t="str">
        <f>IF(Setup!$H$2=0,"EMPTY",IF(B460=0,"EMPTY",B460*Setup!$B$22*Setup!$G$6*Setup!$D$11))</f>
        <v>EMPTY</v>
      </c>
      <c r="E460" s="31">
        <f>IF(Setup!$H$2=0,-1,IF(A460=0,-1,A460*1/(Setup!$G$6)))</f>
        <v>-1</v>
      </c>
      <c r="F460" s="31"/>
    </row>
    <row r="461" spans="1:6" ht="15.75" x14ac:dyDescent="0.25">
      <c r="A461"/>
      <c r="B461"/>
      <c r="C461" s="29" t="str">
        <f>IF(B461=0,"EMPTY",Setup!$D$11*((PI()*2*Setup!$B$22*A461*B461)/33000))</f>
        <v>EMPTY</v>
      </c>
      <c r="D461" s="30" t="str">
        <f>IF(Setup!$H$2=0,"EMPTY",IF(B461=0,"EMPTY",B461*Setup!$B$22*Setup!$G$6*Setup!$D$11))</f>
        <v>EMPTY</v>
      </c>
      <c r="E461" s="31">
        <f>IF(Setup!$H$2=0,-1,IF(A461=0,-1,A461*1/(Setup!$G$6)))</f>
        <v>-1</v>
      </c>
      <c r="F461" s="31"/>
    </row>
    <row r="462" spans="1:6" ht="15.75" x14ac:dyDescent="0.25">
      <c r="A462"/>
      <c r="B462"/>
      <c r="C462" s="29" t="str">
        <f>IF(B462=0,"EMPTY",Setup!$D$11*((PI()*2*Setup!$B$22*A462*B462)/33000))</f>
        <v>EMPTY</v>
      </c>
      <c r="D462" s="30" t="str">
        <f>IF(Setup!$H$2=0,"EMPTY",IF(B462=0,"EMPTY",B462*Setup!$B$22*Setup!$G$6*Setup!$D$11))</f>
        <v>EMPTY</v>
      </c>
      <c r="E462" s="31">
        <f>IF(Setup!$H$2=0,-1,IF(A462=0,-1,A462*1/(Setup!$G$6)))</f>
        <v>-1</v>
      </c>
      <c r="F462" s="31"/>
    </row>
    <row r="463" spans="1:6" ht="15.75" x14ac:dyDescent="0.25">
      <c r="A463"/>
      <c r="B463"/>
      <c r="C463" s="29" t="str">
        <f>IF(B463=0,"EMPTY",Setup!$D$11*((PI()*2*Setup!$B$22*A463*B463)/33000))</f>
        <v>EMPTY</v>
      </c>
      <c r="D463" s="30" t="str">
        <f>IF(Setup!$H$2=0,"EMPTY",IF(B463=0,"EMPTY",B463*Setup!$B$22*Setup!$G$6*Setup!$D$11))</f>
        <v>EMPTY</v>
      </c>
      <c r="E463" s="31">
        <f>IF(Setup!$H$2=0,-1,IF(A463=0,-1,A463*1/(Setup!$G$6)))</f>
        <v>-1</v>
      </c>
      <c r="F463" s="31"/>
    </row>
    <row r="464" spans="1:6" ht="15.75" x14ac:dyDescent="0.25">
      <c r="A464"/>
      <c r="B464"/>
      <c r="C464" s="29" t="str">
        <f>IF(B464=0,"EMPTY",Setup!$D$11*((PI()*2*Setup!$B$22*A464*B464)/33000))</f>
        <v>EMPTY</v>
      </c>
      <c r="D464" s="30" t="str">
        <f>IF(Setup!$H$2=0,"EMPTY",IF(B464=0,"EMPTY",B464*Setup!$B$22*Setup!$G$6*Setup!$D$11))</f>
        <v>EMPTY</v>
      </c>
      <c r="E464" s="31">
        <f>IF(Setup!$H$2=0,-1,IF(A464=0,-1,A464*1/(Setup!$G$6)))</f>
        <v>-1</v>
      </c>
      <c r="F464" s="31"/>
    </row>
    <row r="465" spans="1:6" ht="15.75" x14ac:dyDescent="0.25">
      <c r="A465"/>
      <c r="B465"/>
      <c r="C465" s="29" t="str">
        <f>IF(B465=0,"EMPTY",Setup!$D$11*((PI()*2*Setup!$B$22*A465*B465)/33000))</f>
        <v>EMPTY</v>
      </c>
      <c r="D465" s="30" t="str">
        <f>IF(Setup!$H$2=0,"EMPTY",IF(B465=0,"EMPTY",B465*Setup!$B$22*Setup!$G$6*Setup!$D$11))</f>
        <v>EMPTY</v>
      </c>
      <c r="E465" s="31">
        <f>IF(Setup!$H$2=0,-1,IF(A465=0,-1,A465*1/(Setup!$G$6)))</f>
        <v>-1</v>
      </c>
      <c r="F465" s="31"/>
    </row>
    <row r="466" spans="1:6" ht="15.75" x14ac:dyDescent="0.25">
      <c r="A466"/>
      <c r="B466"/>
      <c r="C466" s="29" t="str">
        <f>IF(B466=0,"EMPTY",Setup!$D$11*((PI()*2*Setup!$B$22*A466*B466)/33000))</f>
        <v>EMPTY</v>
      </c>
      <c r="D466" s="30" t="str">
        <f>IF(Setup!$H$2=0,"EMPTY",IF(B466=0,"EMPTY",B466*Setup!$B$22*Setup!$G$6*Setup!$D$11))</f>
        <v>EMPTY</v>
      </c>
      <c r="E466" s="31">
        <f>IF(Setup!$H$2=0,-1,IF(A466=0,-1,A466*1/(Setup!$G$6)))</f>
        <v>-1</v>
      </c>
      <c r="F466" s="31"/>
    </row>
    <row r="467" spans="1:6" ht="15.75" x14ac:dyDescent="0.25">
      <c r="A467"/>
      <c r="B467"/>
      <c r="C467" s="29" t="str">
        <f>IF(B467=0,"EMPTY",Setup!$D$11*((PI()*2*Setup!$B$22*A467*B467)/33000))</f>
        <v>EMPTY</v>
      </c>
      <c r="D467" s="30" t="str">
        <f>IF(Setup!$H$2=0,"EMPTY",IF(B467=0,"EMPTY",B467*Setup!$B$22*Setup!$G$6*Setup!$D$11))</f>
        <v>EMPTY</v>
      </c>
      <c r="E467" s="31">
        <f>IF(Setup!$H$2=0,-1,IF(A467=0,-1,A467*1/(Setup!$G$6)))</f>
        <v>-1</v>
      </c>
      <c r="F467" s="31"/>
    </row>
    <row r="468" spans="1:6" ht="15.75" x14ac:dyDescent="0.25">
      <c r="A468"/>
      <c r="B468"/>
      <c r="C468" s="29" t="str">
        <f>IF(B468=0,"EMPTY",Setup!$D$11*((PI()*2*Setup!$B$22*A468*B468)/33000))</f>
        <v>EMPTY</v>
      </c>
      <c r="D468" s="30" t="str">
        <f>IF(Setup!$H$2=0,"EMPTY",IF(B468=0,"EMPTY",B468*Setup!$B$22*Setup!$G$6*Setup!$D$11))</f>
        <v>EMPTY</v>
      </c>
      <c r="E468" s="31">
        <f>IF(Setup!$H$2=0,-1,IF(A468=0,-1,A468*1/(Setup!$G$6)))</f>
        <v>-1</v>
      </c>
      <c r="F468" s="31"/>
    </row>
    <row r="469" spans="1:6" ht="15.75" x14ac:dyDescent="0.25">
      <c r="A469"/>
      <c r="B469"/>
      <c r="C469" s="29" t="str">
        <f>IF(B469=0,"EMPTY",Setup!$D$11*((PI()*2*Setup!$B$22*A469*B469)/33000))</f>
        <v>EMPTY</v>
      </c>
      <c r="D469" s="30" t="str">
        <f>IF(Setup!$H$2=0,"EMPTY",IF(B469=0,"EMPTY",B469*Setup!$B$22*Setup!$G$6*Setup!$D$11))</f>
        <v>EMPTY</v>
      </c>
      <c r="E469" s="31">
        <f>IF(Setup!$H$2=0,-1,IF(A469=0,-1,A469*1/(Setup!$G$6)))</f>
        <v>-1</v>
      </c>
      <c r="F469" s="31"/>
    </row>
    <row r="470" spans="1:6" ht="15.75" x14ac:dyDescent="0.25">
      <c r="A470"/>
      <c r="B470"/>
      <c r="C470" s="29" t="str">
        <f>IF(B470=0,"EMPTY",Setup!$D$11*((PI()*2*Setup!$B$22*A470*B470)/33000))</f>
        <v>EMPTY</v>
      </c>
      <c r="D470" s="30" t="str">
        <f>IF(Setup!$H$2=0,"EMPTY",IF(B470=0,"EMPTY",B470*Setup!$B$22*Setup!$G$6*Setup!$D$11))</f>
        <v>EMPTY</v>
      </c>
      <c r="E470" s="31">
        <f>IF(Setup!$H$2=0,-1,IF(A470=0,-1,A470*1/(Setup!$G$6)))</f>
        <v>-1</v>
      </c>
      <c r="F470" s="31"/>
    </row>
    <row r="471" spans="1:6" ht="15.75" x14ac:dyDescent="0.25">
      <c r="A471"/>
      <c r="B471"/>
      <c r="C471" s="29" t="str">
        <f>IF(B471=0,"EMPTY",Setup!$D$11*((PI()*2*Setup!$B$22*A471*B471)/33000))</f>
        <v>EMPTY</v>
      </c>
      <c r="D471" s="30" t="str">
        <f>IF(Setup!$H$2=0,"EMPTY",IF(B471=0,"EMPTY",B471*Setup!$B$22*Setup!$G$6*Setup!$D$11))</f>
        <v>EMPTY</v>
      </c>
      <c r="E471" s="31">
        <f>IF(Setup!$H$2=0,-1,IF(A471=0,-1,A471*1/(Setup!$G$6)))</f>
        <v>-1</v>
      </c>
      <c r="F471" s="31"/>
    </row>
    <row r="472" spans="1:6" ht="15.75" x14ac:dyDescent="0.25">
      <c r="A472"/>
      <c r="B472"/>
      <c r="C472" s="29" t="str">
        <f>IF(B472=0,"EMPTY",Setup!$D$11*((PI()*2*Setup!$B$22*A472*B472)/33000))</f>
        <v>EMPTY</v>
      </c>
      <c r="D472" s="30" t="str">
        <f>IF(Setup!$H$2=0,"EMPTY",IF(B472=0,"EMPTY",B472*Setup!$B$22*Setup!$G$6*Setup!$D$11))</f>
        <v>EMPTY</v>
      </c>
      <c r="E472" s="31">
        <f>IF(Setup!$H$2=0,-1,IF(A472=0,-1,A472*1/(Setup!$G$6)))</f>
        <v>-1</v>
      </c>
      <c r="F472" s="31"/>
    </row>
    <row r="473" spans="1:6" ht="15.75" x14ac:dyDescent="0.25">
      <c r="A473"/>
      <c r="B473"/>
      <c r="C473" s="29" t="str">
        <f>IF(B473=0,"EMPTY",Setup!$D$11*((PI()*2*Setup!$B$22*A473*B473)/33000))</f>
        <v>EMPTY</v>
      </c>
      <c r="D473" s="30" t="str">
        <f>IF(Setup!$H$2=0,"EMPTY",IF(B473=0,"EMPTY",B473*Setup!$B$22*Setup!$G$6*Setup!$D$11))</f>
        <v>EMPTY</v>
      </c>
      <c r="E473" s="31">
        <f>IF(Setup!$H$2=0,-1,IF(A473=0,-1,A473*1/(Setup!$G$6)))</f>
        <v>-1</v>
      </c>
      <c r="F473" s="31"/>
    </row>
    <row r="474" spans="1:6" ht="15.75" x14ac:dyDescent="0.25">
      <c r="A474"/>
      <c r="B474"/>
      <c r="C474" s="29" t="str">
        <f>IF(B474=0,"EMPTY",Setup!$D$11*((PI()*2*Setup!$B$22*A474*B474)/33000))</f>
        <v>EMPTY</v>
      </c>
      <c r="D474" s="30" t="str">
        <f>IF(Setup!$H$2=0,"EMPTY",IF(B474=0,"EMPTY",B474*Setup!$B$22*Setup!$G$6*Setup!$D$11))</f>
        <v>EMPTY</v>
      </c>
      <c r="E474" s="31">
        <f>IF(Setup!$H$2=0,-1,IF(A474=0,-1,A474*1/(Setup!$G$6)))</f>
        <v>-1</v>
      </c>
      <c r="F474" s="31"/>
    </row>
    <row r="475" spans="1:6" ht="15.75" x14ac:dyDescent="0.25">
      <c r="A475"/>
      <c r="B475"/>
      <c r="C475" s="29" t="str">
        <f>IF(B475=0,"EMPTY",Setup!$D$11*((PI()*2*Setup!$B$22*A475*B475)/33000))</f>
        <v>EMPTY</v>
      </c>
      <c r="D475" s="30" t="str">
        <f>IF(Setup!$H$2=0,"EMPTY",IF(B475=0,"EMPTY",B475*Setup!$B$22*Setup!$G$6*Setup!$D$11))</f>
        <v>EMPTY</v>
      </c>
      <c r="E475" s="31">
        <f>IF(Setup!$H$2=0,-1,IF(A475=0,-1,A475*1/(Setup!$G$6)))</f>
        <v>-1</v>
      </c>
      <c r="F475" s="31"/>
    </row>
    <row r="476" spans="1:6" ht="15.75" x14ac:dyDescent="0.25">
      <c r="A476"/>
      <c r="B476"/>
      <c r="C476" s="29" t="str">
        <f>IF(B476=0,"EMPTY",Setup!$D$11*((PI()*2*Setup!$B$22*A476*B476)/33000))</f>
        <v>EMPTY</v>
      </c>
      <c r="D476" s="30" t="str">
        <f>IF(Setup!$H$2=0,"EMPTY",IF(B476=0,"EMPTY",B476*Setup!$B$22*Setup!$G$6*Setup!$D$11))</f>
        <v>EMPTY</v>
      </c>
      <c r="E476" s="31">
        <f>IF(Setup!$H$2=0,-1,IF(A476=0,-1,A476*1/(Setup!$G$6)))</f>
        <v>-1</v>
      </c>
      <c r="F476" s="31"/>
    </row>
    <row r="477" spans="1:6" ht="15.75" x14ac:dyDescent="0.25">
      <c r="A477"/>
      <c r="B477"/>
      <c r="C477" s="29" t="str">
        <f>IF(B477=0,"EMPTY",Setup!$D$11*((PI()*2*Setup!$B$22*A477*B477)/33000))</f>
        <v>EMPTY</v>
      </c>
      <c r="D477" s="30" t="str">
        <f>IF(Setup!$H$2=0,"EMPTY",IF(B477=0,"EMPTY",B477*Setup!$B$22*Setup!$G$6*Setup!$D$11))</f>
        <v>EMPTY</v>
      </c>
      <c r="E477" s="31">
        <f>IF(Setup!$H$2=0,-1,IF(A477=0,-1,A477*1/(Setup!$G$6)))</f>
        <v>-1</v>
      </c>
      <c r="F477" s="31"/>
    </row>
    <row r="478" spans="1:6" ht="15.75" x14ac:dyDescent="0.25">
      <c r="A478"/>
      <c r="B478"/>
      <c r="C478" s="29" t="str">
        <f>IF(B478=0,"EMPTY",Setup!$D$11*((PI()*2*Setup!$B$22*A478*B478)/33000))</f>
        <v>EMPTY</v>
      </c>
      <c r="D478" s="30" t="str">
        <f>IF(Setup!$H$2=0,"EMPTY",IF(B478=0,"EMPTY",B478*Setup!$B$22*Setup!$G$6*Setup!$D$11))</f>
        <v>EMPTY</v>
      </c>
      <c r="E478" s="31">
        <f>IF(Setup!$H$2=0,-1,IF(A478=0,-1,A478*1/(Setup!$G$6)))</f>
        <v>-1</v>
      </c>
      <c r="F478" s="31"/>
    </row>
    <row r="479" spans="1:6" ht="15.75" x14ac:dyDescent="0.25">
      <c r="A479"/>
      <c r="B479"/>
      <c r="C479" s="29" t="str">
        <f>IF(B479=0,"EMPTY",Setup!$D$11*((PI()*2*Setup!$B$22*A479*B479)/33000))</f>
        <v>EMPTY</v>
      </c>
      <c r="D479" s="30" t="str">
        <f>IF(Setup!$H$2=0,"EMPTY",IF(B479=0,"EMPTY",B479*Setup!$B$22*Setup!$G$6*Setup!$D$11))</f>
        <v>EMPTY</v>
      </c>
      <c r="E479" s="31">
        <f>IF(Setup!$H$2=0,-1,IF(A479=0,-1,A479*1/(Setup!$G$6)))</f>
        <v>-1</v>
      </c>
      <c r="F479" s="31"/>
    </row>
    <row r="480" spans="1:6" ht="15.75" x14ac:dyDescent="0.25">
      <c r="A480"/>
      <c r="B480"/>
      <c r="C480" s="29" t="str">
        <f>IF(B480=0,"EMPTY",Setup!$D$11*((PI()*2*Setup!$B$22*A480*B480)/33000))</f>
        <v>EMPTY</v>
      </c>
      <c r="D480" s="30" t="str">
        <f>IF(Setup!$H$2=0,"EMPTY",IF(B480=0,"EMPTY",B480*Setup!$B$22*Setup!$G$6*Setup!$D$11))</f>
        <v>EMPTY</v>
      </c>
      <c r="E480" s="31">
        <f>IF(Setup!$H$2=0,-1,IF(A480=0,-1,A480*1/(Setup!$G$6)))</f>
        <v>-1</v>
      </c>
      <c r="F480" s="31"/>
    </row>
    <row r="481" spans="1:6" ht="15.75" x14ac:dyDescent="0.25">
      <c r="A481"/>
      <c r="B481"/>
      <c r="C481" s="29" t="str">
        <f>IF(B481=0,"EMPTY",Setup!$D$11*((PI()*2*Setup!$B$22*A481*B481)/33000))</f>
        <v>EMPTY</v>
      </c>
      <c r="D481" s="30" t="str">
        <f>IF(Setup!$H$2=0,"EMPTY",IF(B481=0,"EMPTY",B481*Setup!$B$22*Setup!$G$6*Setup!$D$11))</f>
        <v>EMPTY</v>
      </c>
      <c r="E481" s="31">
        <f>IF(Setup!$H$2=0,-1,IF(A481=0,-1,A481*1/(Setup!$G$6)))</f>
        <v>-1</v>
      </c>
      <c r="F481" s="31"/>
    </row>
    <row r="482" spans="1:6" ht="15.75" x14ac:dyDescent="0.25">
      <c r="A482"/>
      <c r="B482"/>
      <c r="C482" s="29" t="str">
        <f>IF(B482=0,"EMPTY",Setup!$D$11*((PI()*2*Setup!$B$22*A482*B482)/33000))</f>
        <v>EMPTY</v>
      </c>
      <c r="D482" s="30" t="str">
        <f>IF(Setup!$H$2=0,"EMPTY",IF(B482=0,"EMPTY",B482*Setup!$B$22*Setup!$G$6*Setup!$D$11))</f>
        <v>EMPTY</v>
      </c>
      <c r="E482" s="31">
        <f>IF(Setup!$H$2=0,-1,IF(A482=0,-1,A482*1/(Setup!$G$6)))</f>
        <v>-1</v>
      </c>
      <c r="F482" s="31"/>
    </row>
    <row r="483" spans="1:6" ht="15.75" x14ac:dyDescent="0.25">
      <c r="A483"/>
      <c r="B483"/>
      <c r="C483" s="29" t="str">
        <f>IF(B483=0,"EMPTY",Setup!$D$11*((PI()*2*Setup!$B$22*A483*B483)/33000))</f>
        <v>EMPTY</v>
      </c>
      <c r="D483" s="30" t="str">
        <f>IF(Setup!$H$2=0,"EMPTY",IF(B483=0,"EMPTY",B483*Setup!$B$22*Setup!$G$6*Setup!$D$11))</f>
        <v>EMPTY</v>
      </c>
      <c r="E483" s="31">
        <f>IF(Setup!$H$2=0,-1,IF(A483=0,-1,A483*1/(Setup!$G$6)))</f>
        <v>-1</v>
      </c>
      <c r="F483" s="31"/>
    </row>
    <row r="484" spans="1:6" ht="15.75" x14ac:dyDescent="0.25">
      <c r="A484"/>
      <c r="B484"/>
      <c r="C484" s="29" t="str">
        <f>IF(B484=0,"EMPTY",Setup!$D$11*((PI()*2*Setup!$B$22*A484*B484)/33000))</f>
        <v>EMPTY</v>
      </c>
      <c r="D484" s="30" t="str">
        <f>IF(Setup!$H$2=0,"EMPTY",IF(B484=0,"EMPTY",B484*Setup!$B$22*Setup!$G$6*Setup!$D$11))</f>
        <v>EMPTY</v>
      </c>
      <c r="E484" s="31">
        <f>IF(Setup!$H$2=0,-1,IF(A484=0,-1,A484*1/(Setup!$G$6)))</f>
        <v>-1</v>
      </c>
      <c r="F484" s="31"/>
    </row>
    <row r="485" spans="1:6" ht="15.75" x14ac:dyDescent="0.25">
      <c r="A485"/>
      <c r="B485"/>
      <c r="C485" s="29" t="str">
        <f>IF(B485=0,"EMPTY",Setup!$D$11*((PI()*2*Setup!$B$22*A485*B485)/33000))</f>
        <v>EMPTY</v>
      </c>
      <c r="D485" s="30" t="str">
        <f>IF(Setup!$H$2=0,"EMPTY",IF(B485=0,"EMPTY",B485*Setup!$B$22*Setup!$G$6*Setup!$D$11))</f>
        <v>EMPTY</v>
      </c>
      <c r="E485" s="31">
        <f>IF(Setup!$H$2=0,-1,IF(A485=0,-1,A485*1/(Setup!$G$6)))</f>
        <v>-1</v>
      </c>
      <c r="F485" s="31"/>
    </row>
    <row r="486" spans="1:6" ht="15.75" x14ac:dyDescent="0.25">
      <c r="A486"/>
      <c r="B486"/>
      <c r="C486" s="29" t="str">
        <f>IF(B486=0,"EMPTY",Setup!$D$11*((PI()*2*Setup!$B$22*A486*B486)/33000))</f>
        <v>EMPTY</v>
      </c>
      <c r="D486" s="30" t="str">
        <f>IF(Setup!$H$2=0,"EMPTY",IF(B486=0,"EMPTY",B486*Setup!$B$22*Setup!$G$6*Setup!$D$11))</f>
        <v>EMPTY</v>
      </c>
      <c r="E486" s="31">
        <f>IF(Setup!$H$2=0,-1,IF(A486=0,-1,A486*1/(Setup!$G$6)))</f>
        <v>-1</v>
      </c>
      <c r="F486" s="31"/>
    </row>
    <row r="487" spans="1:6" ht="15.75" x14ac:dyDescent="0.25">
      <c r="A487"/>
      <c r="B487"/>
      <c r="C487" s="29" t="str">
        <f>IF(B487=0,"EMPTY",Setup!$D$11*((PI()*2*Setup!$B$22*A487*B487)/33000))</f>
        <v>EMPTY</v>
      </c>
      <c r="D487" s="30" t="str">
        <f>IF(Setup!$H$2=0,"EMPTY",IF(B487=0,"EMPTY",B487*Setup!$B$22*Setup!$G$6*Setup!$D$11))</f>
        <v>EMPTY</v>
      </c>
      <c r="E487" s="31">
        <f>IF(Setup!$H$2=0,-1,IF(A487=0,-1,A487*1/(Setup!$G$6)))</f>
        <v>-1</v>
      </c>
      <c r="F487" s="31"/>
    </row>
    <row r="488" spans="1:6" ht="15.75" x14ac:dyDescent="0.25">
      <c r="A488"/>
      <c r="B488"/>
      <c r="C488" s="29" t="str">
        <f>IF(B488=0,"EMPTY",Setup!$D$11*((PI()*2*Setup!$B$22*A488*B488)/33000))</f>
        <v>EMPTY</v>
      </c>
      <c r="D488" s="30" t="str">
        <f>IF(Setup!$H$2=0,"EMPTY",IF(B488=0,"EMPTY",B488*Setup!$B$22*Setup!$G$6*Setup!$D$11))</f>
        <v>EMPTY</v>
      </c>
      <c r="E488" s="31">
        <f>IF(Setup!$H$2=0,-1,IF(A488=0,-1,A488*1/(Setup!$G$6)))</f>
        <v>-1</v>
      </c>
      <c r="F488" s="31"/>
    </row>
    <row r="489" spans="1:6" ht="15.75" x14ac:dyDescent="0.25">
      <c r="A489"/>
      <c r="B489"/>
      <c r="C489" s="29" t="str">
        <f>IF(B489=0,"EMPTY",Setup!$D$11*((PI()*2*Setup!$B$22*A489*B489)/33000))</f>
        <v>EMPTY</v>
      </c>
      <c r="D489" s="30" t="str">
        <f>IF(Setup!$H$2=0,"EMPTY",IF(B489=0,"EMPTY",B489*Setup!$B$22*Setup!$G$6*Setup!$D$11))</f>
        <v>EMPTY</v>
      </c>
      <c r="E489" s="31">
        <f>IF(Setup!$H$2=0,-1,IF(A489=0,-1,A489*1/(Setup!$G$6)))</f>
        <v>-1</v>
      </c>
      <c r="F489" s="31"/>
    </row>
    <row r="490" spans="1:6" ht="15.75" x14ac:dyDescent="0.25">
      <c r="A490"/>
      <c r="B490"/>
      <c r="C490" s="29" t="str">
        <f>IF(B490=0,"EMPTY",Setup!$D$11*((PI()*2*Setup!$B$22*A490*B490)/33000))</f>
        <v>EMPTY</v>
      </c>
      <c r="D490" s="30" t="str">
        <f>IF(Setup!$H$2=0,"EMPTY",IF(B490=0,"EMPTY",B490*Setup!$B$22*Setup!$G$6*Setup!$D$11))</f>
        <v>EMPTY</v>
      </c>
      <c r="E490" s="31">
        <f>IF(Setup!$H$2=0,-1,IF(A490=0,-1,A490*1/(Setup!$G$6)))</f>
        <v>-1</v>
      </c>
      <c r="F490" s="31"/>
    </row>
    <row r="491" spans="1:6" ht="15.75" x14ac:dyDescent="0.25">
      <c r="A491"/>
      <c r="B491"/>
      <c r="C491" s="29" t="str">
        <f>IF(B491=0,"EMPTY",Setup!$D$11*((PI()*2*Setup!$B$22*A491*B491)/33000))</f>
        <v>EMPTY</v>
      </c>
      <c r="D491" s="30" t="str">
        <f>IF(Setup!$H$2=0,"EMPTY",IF(B491=0,"EMPTY",B491*Setup!$B$22*Setup!$G$6*Setup!$D$11))</f>
        <v>EMPTY</v>
      </c>
      <c r="E491" s="31">
        <f>IF(Setup!$H$2=0,-1,IF(A491=0,-1,A491*1/(Setup!$G$6)))</f>
        <v>-1</v>
      </c>
      <c r="F491" s="31"/>
    </row>
    <row r="492" spans="1:6" ht="15.75" x14ac:dyDescent="0.25">
      <c r="A492"/>
      <c r="B492"/>
      <c r="C492" s="29" t="str">
        <f>IF(B492=0,"EMPTY",Setup!$D$11*((PI()*2*Setup!$B$22*A492*B492)/33000))</f>
        <v>EMPTY</v>
      </c>
      <c r="D492" s="30" t="str">
        <f>IF(Setup!$H$2=0,"EMPTY",IF(B492=0,"EMPTY",B492*Setup!$B$22*Setup!$G$6*Setup!$D$11))</f>
        <v>EMPTY</v>
      </c>
      <c r="E492" s="31">
        <f>IF(Setup!$H$2=0,-1,IF(A492=0,-1,A492*1/(Setup!$G$6)))</f>
        <v>-1</v>
      </c>
      <c r="F492" s="31"/>
    </row>
    <row r="493" spans="1:6" ht="15.75" x14ac:dyDescent="0.25">
      <c r="A493"/>
      <c r="B493"/>
      <c r="C493" s="29" t="str">
        <f>IF(B493=0,"EMPTY",Setup!$D$11*((PI()*2*Setup!$B$22*A493*B493)/33000))</f>
        <v>EMPTY</v>
      </c>
      <c r="D493" s="30" t="str">
        <f>IF(Setup!$H$2=0,"EMPTY",IF(B493=0,"EMPTY",B493*Setup!$B$22*Setup!$G$6*Setup!$D$11))</f>
        <v>EMPTY</v>
      </c>
      <c r="E493" s="31">
        <f>IF(Setup!$H$2=0,-1,IF(A493=0,-1,A493*1/(Setup!$G$6)))</f>
        <v>-1</v>
      </c>
      <c r="F493" s="31"/>
    </row>
    <row r="494" spans="1:6" ht="15.75" x14ac:dyDescent="0.25">
      <c r="A494"/>
      <c r="B494"/>
      <c r="C494" s="29" t="str">
        <f>IF(B494=0,"EMPTY",Setup!$D$11*((PI()*2*Setup!$B$22*A494*B494)/33000))</f>
        <v>EMPTY</v>
      </c>
      <c r="D494" s="30" t="str">
        <f>IF(Setup!$H$2=0,"EMPTY",IF(B494=0,"EMPTY",B494*Setup!$B$22*Setup!$G$6*Setup!$D$11))</f>
        <v>EMPTY</v>
      </c>
      <c r="E494" s="31">
        <f>IF(Setup!$H$2=0,-1,IF(A494=0,-1,A494*1/(Setup!$G$6)))</f>
        <v>-1</v>
      </c>
      <c r="F494" s="31"/>
    </row>
    <row r="495" spans="1:6" ht="15.75" x14ac:dyDescent="0.25">
      <c r="A495"/>
      <c r="B495"/>
      <c r="C495" s="29" t="str">
        <f>IF(B495=0,"EMPTY",Setup!$D$11*((PI()*2*Setup!$B$22*A495*B495)/33000))</f>
        <v>EMPTY</v>
      </c>
      <c r="D495" s="30" t="str">
        <f>IF(Setup!$H$2=0,"EMPTY",IF(B495=0,"EMPTY",B495*Setup!$B$22*Setup!$G$6*Setup!$D$11))</f>
        <v>EMPTY</v>
      </c>
      <c r="E495" s="31">
        <f>IF(Setup!$H$2=0,-1,IF(A495=0,-1,A495*1/(Setup!$G$6)))</f>
        <v>-1</v>
      </c>
      <c r="F495" s="31"/>
    </row>
    <row r="496" spans="1:6" ht="15.75" x14ac:dyDescent="0.25">
      <c r="A496"/>
      <c r="B496"/>
      <c r="C496" s="29" t="str">
        <f>IF(B496=0,"EMPTY",Setup!$D$11*((PI()*2*Setup!$B$22*A496*B496)/33000))</f>
        <v>EMPTY</v>
      </c>
      <c r="D496" s="30" t="str">
        <f>IF(Setup!$H$2=0,"EMPTY",IF(B496=0,"EMPTY",B496*Setup!$B$22*Setup!$G$6*Setup!$D$11))</f>
        <v>EMPTY</v>
      </c>
      <c r="E496" s="31">
        <f>IF(Setup!$H$2=0,-1,IF(A496=0,-1,A496*1/(Setup!$G$6)))</f>
        <v>-1</v>
      </c>
      <c r="F496" s="31"/>
    </row>
    <row r="497" spans="1:6" ht="15.75" x14ac:dyDescent="0.25">
      <c r="A497"/>
      <c r="B497"/>
      <c r="C497" s="29" t="str">
        <f>IF(B497=0,"EMPTY",Setup!$D$11*((PI()*2*Setup!$B$22*A497*B497)/33000))</f>
        <v>EMPTY</v>
      </c>
      <c r="D497" s="30" t="str">
        <f>IF(Setup!$H$2=0,"EMPTY",IF(B497=0,"EMPTY",B497*Setup!$B$22*Setup!$G$6*Setup!$D$11))</f>
        <v>EMPTY</v>
      </c>
      <c r="E497" s="31">
        <f>IF(Setup!$H$2=0,-1,IF(A497=0,-1,A497*1/(Setup!$G$6)))</f>
        <v>-1</v>
      </c>
      <c r="F497" s="31"/>
    </row>
    <row r="498" spans="1:6" ht="15.75" x14ac:dyDescent="0.25">
      <c r="A498"/>
      <c r="B498"/>
      <c r="C498" s="29" t="str">
        <f>IF(B498=0,"EMPTY",Setup!$D$11*((PI()*2*Setup!$B$22*A498*B498)/33000))</f>
        <v>EMPTY</v>
      </c>
      <c r="D498" s="30" t="str">
        <f>IF(Setup!$H$2=0,"EMPTY",IF(B498=0,"EMPTY",B498*Setup!$B$22*Setup!$G$6*Setup!$D$11))</f>
        <v>EMPTY</v>
      </c>
      <c r="E498" s="31">
        <f>IF(Setup!$H$2=0,-1,IF(A498=0,-1,A498*1/(Setup!$G$6)))</f>
        <v>-1</v>
      </c>
      <c r="F498" s="31"/>
    </row>
    <row r="499" spans="1:6" ht="15.75" x14ac:dyDescent="0.25">
      <c r="A499"/>
      <c r="B499"/>
      <c r="C499" s="29" t="str">
        <f>IF(B499=0,"EMPTY",Setup!$D$11*((PI()*2*Setup!$B$22*A499*B499)/33000))</f>
        <v>EMPTY</v>
      </c>
      <c r="D499" s="30" t="str">
        <f>IF(Setup!$H$2=0,"EMPTY",IF(B499=0,"EMPTY",B499*Setup!$B$22*Setup!$G$6*Setup!$D$11))</f>
        <v>EMPTY</v>
      </c>
      <c r="E499" s="31">
        <f>IF(Setup!$H$2=0,-1,IF(A499=0,-1,A499*1/(Setup!$G$6)))</f>
        <v>-1</v>
      </c>
      <c r="F499" s="31"/>
    </row>
    <row r="500" spans="1:6" ht="15.75" x14ac:dyDescent="0.25">
      <c r="A500"/>
      <c r="B500"/>
      <c r="C500" s="29" t="str">
        <f>IF(B500=0,"EMPTY",Setup!$D$11*((PI()*2*Setup!$B$22*A500*B500)/33000))</f>
        <v>EMPTY</v>
      </c>
      <c r="D500" s="30" t="str">
        <f>IF(Setup!$H$2=0,"EMPTY",IF(B500=0,"EMPTY",B500*Setup!$B$22*Setup!$G$6*Setup!$D$11))</f>
        <v>EMPTY</v>
      </c>
      <c r="E500" s="31">
        <f>IF(Setup!$H$2=0,-1,IF(A500=0,-1,A500*1/(Setup!$G$6)))</f>
        <v>-1</v>
      </c>
      <c r="F500" s="31"/>
    </row>
    <row r="501" spans="1:6" ht="15.75" x14ac:dyDescent="0.25">
      <c r="A501"/>
      <c r="B501"/>
      <c r="C501" s="29" t="str">
        <f>IF(B501=0,"EMPTY",Setup!$D$11*((PI()*2*Setup!$B$22*A501*B501)/33000))</f>
        <v>EMPTY</v>
      </c>
      <c r="D501" s="30" t="str">
        <f>IF(Setup!$H$2=0,"EMPTY",IF(B501=0,"EMPTY",B501*Setup!$B$22*Setup!$G$6*Setup!$D$11))</f>
        <v>EMPTY</v>
      </c>
      <c r="E501" s="31">
        <f>IF(Setup!$H$2=0,-1,IF(A501=0,-1,A501*1/(Setup!$G$6)))</f>
        <v>-1</v>
      </c>
      <c r="F501" s="31"/>
    </row>
    <row r="502" spans="1:6" ht="15.75" x14ac:dyDescent="0.25">
      <c r="A502"/>
      <c r="B502"/>
      <c r="C502" s="29" t="str">
        <f>IF(B502=0,"EMPTY",Setup!$D$11*((PI()*2*Setup!$B$22*A502*B502)/33000))</f>
        <v>EMPTY</v>
      </c>
      <c r="D502" s="30" t="str">
        <f>IF(Setup!$H$2=0,"EMPTY",IF(B502=0,"EMPTY",B502*Setup!$B$22*Setup!$G$6*Setup!$D$11))</f>
        <v>EMPTY</v>
      </c>
      <c r="E502" s="31">
        <f>IF(Setup!$H$2=0,-1,IF(A502=0,-1,A502*1/(Setup!$G$6)))</f>
        <v>-1</v>
      </c>
      <c r="F502" s="31"/>
    </row>
    <row r="503" spans="1:6" ht="15.75" x14ac:dyDescent="0.25">
      <c r="A503"/>
      <c r="B503"/>
      <c r="C503" s="29" t="str">
        <f>IF(B503=0,"EMPTY",Setup!$D$11*((PI()*2*Setup!$B$22*A503*B503)/33000))</f>
        <v>EMPTY</v>
      </c>
      <c r="D503" s="30" t="str">
        <f>IF(Setup!$H$2=0,"EMPTY",IF(B503=0,"EMPTY",B503*Setup!$B$22*Setup!$G$6*Setup!$D$11))</f>
        <v>EMPTY</v>
      </c>
      <c r="E503" s="31">
        <f>IF(Setup!$H$2=0,-1,IF(A503=0,-1,A503*1/(Setup!$G$6)))</f>
        <v>-1</v>
      </c>
      <c r="F503" s="31"/>
    </row>
    <row r="504" spans="1:6" ht="15.75" x14ac:dyDescent="0.25">
      <c r="A504"/>
      <c r="B504"/>
      <c r="C504" s="29" t="str">
        <f>IF(B504=0,"EMPTY",Setup!$D$11*((PI()*2*Setup!$B$22*A504*B504)/33000))</f>
        <v>EMPTY</v>
      </c>
      <c r="D504" s="30" t="str">
        <f>IF(Setup!$H$2=0,"EMPTY",IF(B504=0,"EMPTY",B504*Setup!$B$22*Setup!$G$6*Setup!$D$11))</f>
        <v>EMPTY</v>
      </c>
      <c r="E504" s="31">
        <f>IF(Setup!$H$2=0,-1,IF(A504=0,-1,A504*1/(Setup!$G$6)))</f>
        <v>-1</v>
      </c>
      <c r="F504" s="31"/>
    </row>
    <row r="505" spans="1:6" ht="15.75" x14ac:dyDescent="0.25">
      <c r="A505"/>
      <c r="B505"/>
      <c r="C505" s="29" t="str">
        <f>IF(B505=0,"EMPTY",Setup!$D$11*((PI()*2*Setup!$B$22*A505*B505)/33000))</f>
        <v>EMPTY</v>
      </c>
      <c r="D505" s="30" t="str">
        <f>IF(Setup!$H$2=0,"EMPTY",IF(B505=0,"EMPTY",B505*Setup!$B$22*Setup!$G$6*Setup!$D$11))</f>
        <v>EMPTY</v>
      </c>
      <c r="E505" s="31">
        <f>IF(Setup!$H$2=0,-1,IF(A505=0,-1,A505*1/(Setup!$G$6)))</f>
        <v>-1</v>
      </c>
      <c r="F505" s="31"/>
    </row>
    <row r="506" spans="1:6" ht="15.75" x14ac:dyDescent="0.25">
      <c r="A506"/>
      <c r="B506"/>
      <c r="C506" s="29" t="str">
        <f>IF(B506=0,"EMPTY",Setup!$D$11*((PI()*2*Setup!$B$22*A506*B506)/33000))</f>
        <v>EMPTY</v>
      </c>
      <c r="D506" s="30" t="str">
        <f>IF(Setup!$H$2=0,"EMPTY",IF(B506=0,"EMPTY",B506*Setup!$B$22*Setup!$G$6*Setup!$D$11))</f>
        <v>EMPTY</v>
      </c>
      <c r="E506" s="31">
        <f>IF(Setup!$H$2=0,-1,IF(A506=0,-1,A506*1/(Setup!$G$6)))</f>
        <v>-1</v>
      </c>
      <c r="F506" s="31"/>
    </row>
    <row r="507" spans="1:6" ht="15.75" x14ac:dyDescent="0.25">
      <c r="A507"/>
      <c r="B507"/>
      <c r="C507" s="29" t="str">
        <f>IF(B507=0,"EMPTY",Setup!$D$11*((PI()*2*Setup!$B$22*A507*B507)/33000))</f>
        <v>EMPTY</v>
      </c>
      <c r="D507" s="30" t="str">
        <f>IF(Setup!$H$2=0,"EMPTY",IF(B507=0,"EMPTY",B507*Setup!$B$22*Setup!$G$6*Setup!$D$11))</f>
        <v>EMPTY</v>
      </c>
      <c r="E507" s="31">
        <f>IF(Setup!$H$2=0,-1,IF(A507=0,-1,A507*1/(Setup!$G$6)))</f>
        <v>-1</v>
      </c>
      <c r="F507" s="31"/>
    </row>
    <row r="508" spans="1:6" ht="15.75" x14ac:dyDescent="0.25">
      <c r="A508"/>
      <c r="B508"/>
      <c r="C508" s="29" t="str">
        <f>IF(B508=0,"EMPTY",Setup!$D$11*((PI()*2*Setup!$B$22*A508*B508)/33000))</f>
        <v>EMPTY</v>
      </c>
      <c r="D508" s="30" t="str">
        <f>IF(Setup!$H$2=0,"EMPTY",IF(B508=0,"EMPTY",B508*Setup!$B$22*Setup!$G$6*Setup!$D$11))</f>
        <v>EMPTY</v>
      </c>
      <c r="E508" s="31">
        <f>IF(Setup!$H$2=0,-1,IF(A508=0,-1,A508*1/(Setup!$G$6)))</f>
        <v>-1</v>
      </c>
      <c r="F508" s="31"/>
    </row>
    <row r="509" spans="1:6" ht="15.75" x14ac:dyDescent="0.25">
      <c r="A509"/>
      <c r="B509"/>
      <c r="C509" s="29" t="str">
        <f>IF(B509=0,"EMPTY",Setup!$D$11*((PI()*2*Setup!$B$22*A509*B509)/33000))</f>
        <v>EMPTY</v>
      </c>
      <c r="D509" s="30" t="str">
        <f>IF(Setup!$H$2=0,"EMPTY",IF(B509=0,"EMPTY",B509*Setup!$B$22*Setup!$G$6*Setup!$D$11))</f>
        <v>EMPTY</v>
      </c>
      <c r="E509" s="31">
        <f>IF(Setup!$H$2=0,-1,IF(A509=0,-1,A509*1/(Setup!$G$6)))</f>
        <v>-1</v>
      </c>
      <c r="F509" s="31"/>
    </row>
    <row r="510" spans="1:6" ht="15.75" x14ac:dyDescent="0.25">
      <c r="A510"/>
      <c r="B510"/>
      <c r="C510" s="29" t="str">
        <f>IF(B510=0,"EMPTY",Setup!$D$11*((PI()*2*Setup!$B$22*A510*B510)/33000))</f>
        <v>EMPTY</v>
      </c>
      <c r="D510" s="30" t="str">
        <f>IF(Setup!$H$2=0,"EMPTY",IF(B510=0,"EMPTY",B510*Setup!$B$22*Setup!$G$6*Setup!$D$11))</f>
        <v>EMPTY</v>
      </c>
      <c r="E510" s="31">
        <f>IF(Setup!$H$2=0,-1,IF(A510=0,-1,A510*1/(Setup!$G$6)))</f>
        <v>-1</v>
      </c>
      <c r="F510" s="31"/>
    </row>
    <row r="511" spans="1:6" ht="15.75" x14ac:dyDescent="0.25">
      <c r="A511"/>
      <c r="B511"/>
      <c r="C511" s="29" t="str">
        <f>IF(B511=0,"EMPTY",Setup!$D$11*((PI()*2*Setup!$B$22*A511*B511)/33000))</f>
        <v>EMPTY</v>
      </c>
      <c r="D511" s="30" t="str">
        <f>IF(Setup!$H$2=0,"EMPTY",IF(B511=0,"EMPTY",B511*Setup!$B$22*Setup!$G$6*Setup!$D$11))</f>
        <v>EMPTY</v>
      </c>
      <c r="E511" s="31">
        <f>IF(Setup!$H$2=0,-1,IF(A511=0,-1,A511*1/(Setup!$G$6)))</f>
        <v>-1</v>
      </c>
      <c r="F511" s="31"/>
    </row>
    <row r="512" spans="1:6" ht="15.75" x14ac:dyDescent="0.25">
      <c r="A512"/>
      <c r="B512"/>
      <c r="C512" s="29" t="str">
        <f>IF(B512=0,"EMPTY",Setup!$D$11*((PI()*2*Setup!$B$22*A512*B512)/33000))</f>
        <v>EMPTY</v>
      </c>
      <c r="D512" s="30" t="str">
        <f>IF(Setup!$H$2=0,"EMPTY",IF(B512=0,"EMPTY",B512*Setup!$B$22*Setup!$G$6*Setup!$D$11))</f>
        <v>EMPTY</v>
      </c>
      <c r="E512" s="31">
        <f>IF(Setup!$H$2=0,-1,IF(A512=0,-1,A512*1/(Setup!$G$6)))</f>
        <v>-1</v>
      </c>
      <c r="F512" s="31"/>
    </row>
    <row r="513" spans="1:6" ht="15.75" x14ac:dyDescent="0.25">
      <c r="A513"/>
      <c r="B513"/>
      <c r="C513" s="29" t="str">
        <f>IF(B513=0,"EMPTY",Setup!$D$11*((PI()*2*Setup!$B$22*A513*B513)/33000))</f>
        <v>EMPTY</v>
      </c>
      <c r="D513" s="30" t="str">
        <f>IF(Setup!$H$2=0,"EMPTY",IF(B513=0,"EMPTY",B513*Setup!$B$22*Setup!$G$6*Setup!$D$11))</f>
        <v>EMPTY</v>
      </c>
      <c r="E513" s="31">
        <f>IF(Setup!$H$2=0,-1,IF(A513=0,-1,A513*1/(Setup!$G$6)))</f>
        <v>-1</v>
      </c>
      <c r="F513" s="31"/>
    </row>
    <row r="514" spans="1:6" ht="15.75" x14ac:dyDescent="0.25">
      <c r="A514"/>
      <c r="B514"/>
      <c r="C514" s="29" t="str">
        <f>IF(B514=0,"EMPTY",Setup!$D$11*((PI()*2*Setup!$B$22*A514*B514)/33000))</f>
        <v>EMPTY</v>
      </c>
      <c r="D514" s="30" t="str">
        <f>IF(Setup!$H$2=0,"EMPTY",IF(B514=0,"EMPTY",B514*Setup!$B$22*Setup!$G$6*Setup!$D$11))</f>
        <v>EMPTY</v>
      </c>
      <c r="E514" s="31">
        <f>IF(Setup!$H$2=0,-1,IF(A514=0,-1,A514*1/(Setup!$G$6)))</f>
        <v>-1</v>
      </c>
      <c r="F514" s="31"/>
    </row>
    <row r="515" spans="1:6" ht="15.75" x14ac:dyDescent="0.25">
      <c r="A515"/>
      <c r="B515"/>
      <c r="C515" s="29" t="str">
        <f>IF(B515=0,"EMPTY",Setup!$D$11*((PI()*2*Setup!$B$22*A515*B515)/33000))</f>
        <v>EMPTY</v>
      </c>
      <c r="D515" s="30" t="str">
        <f>IF(Setup!$H$2=0,"EMPTY",IF(B515=0,"EMPTY",B515*Setup!$B$22*Setup!$G$6*Setup!$D$11))</f>
        <v>EMPTY</v>
      </c>
      <c r="E515" s="31">
        <f>IF(Setup!$H$2=0,-1,IF(A515=0,-1,A515*1/(Setup!$G$6)))</f>
        <v>-1</v>
      </c>
      <c r="F515" s="31"/>
    </row>
    <row r="516" spans="1:6" ht="15.75" x14ac:dyDescent="0.25">
      <c r="A516"/>
      <c r="B516"/>
      <c r="C516" s="29" t="str">
        <f>IF(B516=0,"EMPTY",Setup!$D$11*((PI()*2*Setup!$B$22*A516*B516)/33000))</f>
        <v>EMPTY</v>
      </c>
      <c r="D516" s="30" t="str">
        <f>IF(Setup!$H$2=0,"EMPTY",IF(B516=0,"EMPTY",B516*Setup!$B$22*Setup!$G$6*Setup!$D$11))</f>
        <v>EMPTY</v>
      </c>
      <c r="E516" s="31">
        <f>IF(Setup!$H$2=0,-1,IF(A516=0,-1,A516*1/(Setup!$G$6)))</f>
        <v>-1</v>
      </c>
      <c r="F516" s="31"/>
    </row>
    <row r="517" spans="1:6" ht="15.75" x14ac:dyDescent="0.25">
      <c r="A517"/>
      <c r="B517"/>
      <c r="C517" s="29" t="str">
        <f>IF(B517=0,"EMPTY",Setup!$D$11*((PI()*2*Setup!$B$22*A517*B517)/33000))</f>
        <v>EMPTY</v>
      </c>
      <c r="D517" s="30" t="str">
        <f>IF(Setup!$H$2=0,"EMPTY",IF(B517=0,"EMPTY",B517*Setup!$B$22*Setup!$G$6*Setup!$D$11))</f>
        <v>EMPTY</v>
      </c>
      <c r="E517" s="31">
        <f>IF(Setup!$H$2=0,-1,IF(A517=0,-1,A517*1/(Setup!$G$6)))</f>
        <v>-1</v>
      </c>
      <c r="F517" s="31"/>
    </row>
    <row r="518" spans="1:6" ht="15.75" x14ac:dyDescent="0.25">
      <c r="A518"/>
      <c r="B518"/>
      <c r="C518" s="29" t="str">
        <f>IF(B518=0,"EMPTY",Setup!$D$11*((PI()*2*Setup!$B$22*A518*B518)/33000))</f>
        <v>EMPTY</v>
      </c>
      <c r="D518" s="30" t="str">
        <f>IF(Setup!$H$2=0,"EMPTY",IF(B518=0,"EMPTY",B518*Setup!$B$22*Setup!$G$6*Setup!$D$11))</f>
        <v>EMPTY</v>
      </c>
      <c r="E518" s="31">
        <f>IF(Setup!$H$2=0,-1,IF(A518=0,-1,A518*1/(Setup!$G$6)))</f>
        <v>-1</v>
      </c>
      <c r="F518" s="31"/>
    </row>
    <row r="519" spans="1:6" ht="15.75" x14ac:dyDescent="0.25">
      <c r="A519"/>
      <c r="B519"/>
      <c r="C519" s="29" t="str">
        <f>IF(B519=0,"EMPTY",Setup!$D$11*((PI()*2*Setup!$B$22*A519*B519)/33000))</f>
        <v>EMPTY</v>
      </c>
      <c r="D519" s="30" t="str">
        <f>IF(Setup!$H$2=0,"EMPTY",IF(B519=0,"EMPTY",B519*Setup!$B$22*Setup!$G$6*Setup!$D$11))</f>
        <v>EMPTY</v>
      </c>
      <c r="E519" s="31">
        <f>IF(Setup!$H$2=0,-1,IF(A519=0,-1,A519*1/(Setup!$G$6)))</f>
        <v>-1</v>
      </c>
      <c r="F519" s="31"/>
    </row>
    <row r="520" spans="1:6" ht="15.75" x14ac:dyDescent="0.25">
      <c r="A520"/>
      <c r="B520"/>
      <c r="C520" s="29" t="str">
        <f>IF(B520=0,"EMPTY",Setup!$D$11*((PI()*2*Setup!$B$22*A520*B520)/33000))</f>
        <v>EMPTY</v>
      </c>
      <c r="D520" s="30" t="str">
        <f>IF(Setup!$H$2=0,"EMPTY",IF(B520=0,"EMPTY",B520*Setup!$B$22*Setup!$G$6*Setup!$D$11))</f>
        <v>EMPTY</v>
      </c>
      <c r="E520" s="31">
        <f>IF(Setup!$H$2=0,-1,IF(A520=0,-1,A520*1/(Setup!$G$6)))</f>
        <v>-1</v>
      </c>
      <c r="F520" s="31"/>
    </row>
    <row r="521" spans="1:6" ht="15.75" x14ac:dyDescent="0.25">
      <c r="A521"/>
      <c r="B521"/>
      <c r="C521" s="29" t="str">
        <f>IF(B521=0,"EMPTY",Setup!$D$11*((PI()*2*Setup!$B$22*A521*B521)/33000))</f>
        <v>EMPTY</v>
      </c>
      <c r="D521" s="30" t="str">
        <f>IF(Setup!$H$2=0,"EMPTY",IF(B521=0,"EMPTY",B521*Setup!$B$22*Setup!$G$6*Setup!$D$11))</f>
        <v>EMPTY</v>
      </c>
      <c r="E521" s="31">
        <f>IF(Setup!$H$2=0,-1,IF(A521=0,-1,A521*1/(Setup!$G$6)))</f>
        <v>-1</v>
      </c>
      <c r="F521" s="31"/>
    </row>
    <row r="522" spans="1:6" ht="15.75" x14ac:dyDescent="0.25">
      <c r="A522"/>
      <c r="B522"/>
      <c r="C522" s="29" t="str">
        <f>IF(B522=0,"EMPTY",Setup!$D$11*((PI()*2*Setup!$B$22*A522*B522)/33000))</f>
        <v>EMPTY</v>
      </c>
      <c r="D522" s="30" t="str">
        <f>IF(Setup!$H$2=0,"EMPTY",IF(B522=0,"EMPTY",B522*Setup!$B$22*Setup!$G$6*Setup!$D$11))</f>
        <v>EMPTY</v>
      </c>
      <c r="E522" s="31">
        <f>IF(Setup!$H$2=0,-1,IF(A522=0,-1,A522*1/(Setup!$G$6)))</f>
        <v>-1</v>
      </c>
      <c r="F522" s="31"/>
    </row>
    <row r="523" spans="1:6" ht="15.75" x14ac:dyDescent="0.25">
      <c r="A523"/>
      <c r="B523"/>
      <c r="C523" s="29" t="str">
        <f>IF(B523=0,"EMPTY",Setup!$D$11*((PI()*2*Setup!$B$22*A523*B523)/33000))</f>
        <v>EMPTY</v>
      </c>
      <c r="D523" s="30" t="str">
        <f>IF(Setup!$H$2=0,"EMPTY",IF(B523=0,"EMPTY",B523*Setup!$B$22*Setup!$G$6*Setup!$D$11))</f>
        <v>EMPTY</v>
      </c>
      <c r="E523" s="31">
        <f>IF(Setup!$H$2=0,-1,IF(A523=0,-1,A523*1/(Setup!$G$6)))</f>
        <v>-1</v>
      </c>
      <c r="F523" s="31"/>
    </row>
    <row r="524" spans="1:6" ht="15.75" x14ac:dyDescent="0.25">
      <c r="A524"/>
      <c r="B524"/>
      <c r="C524" s="29" t="str">
        <f>IF(B524=0,"EMPTY",Setup!$D$11*((PI()*2*Setup!$B$22*A524*B524)/33000))</f>
        <v>EMPTY</v>
      </c>
      <c r="D524" s="30" t="str">
        <f>IF(Setup!$H$2=0,"EMPTY",IF(B524=0,"EMPTY",B524*Setup!$B$22*Setup!$G$6*Setup!$D$11))</f>
        <v>EMPTY</v>
      </c>
      <c r="E524" s="31">
        <f>IF(Setup!$H$2=0,-1,IF(A524=0,-1,A524*1/(Setup!$G$6)))</f>
        <v>-1</v>
      </c>
      <c r="F524" s="31"/>
    </row>
    <row r="525" spans="1:6" ht="15.75" x14ac:dyDescent="0.25">
      <c r="A525"/>
      <c r="B525"/>
      <c r="C525" s="29" t="str">
        <f>IF(B525=0,"EMPTY",Setup!$D$11*((PI()*2*Setup!$B$22*A525*B525)/33000))</f>
        <v>EMPTY</v>
      </c>
      <c r="D525" s="30" t="str">
        <f>IF(Setup!$H$2=0,"EMPTY",IF(B525=0,"EMPTY",B525*Setup!$B$22*Setup!$G$6*Setup!$D$11))</f>
        <v>EMPTY</v>
      </c>
      <c r="E525" s="31">
        <f>IF(Setup!$H$2=0,-1,IF(A525=0,-1,A525*1/(Setup!$G$6)))</f>
        <v>-1</v>
      </c>
      <c r="F525" s="31"/>
    </row>
    <row r="526" spans="1:6" ht="15.75" x14ac:dyDescent="0.25">
      <c r="A526"/>
      <c r="B526"/>
      <c r="C526" s="29" t="str">
        <f>IF(B526=0,"EMPTY",Setup!$D$11*((PI()*2*Setup!$B$22*A526*B526)/33000))</f>
        <v>EMPTY</v>
      </c>
      <c r="D526" s="30" t="str">
        <f>IF(Setup!$H$2=0,"EMPTY",IF(B526=0,"EMPTY",B526*Setup!$B$22*Setup!$G$6*Setup!$D$11))</f>
        <v>EMPTY</v>
      </c>
      <c r="E526" s="31">
        <f>IF(Setup!$H$2=0,-1,IF(A526=0,-1,A526*1/(Setup!$G$6)))</f>
        <v>-1</v>
      </c>
      <c r="F526" s="31"/>
    </row>
    <row r="527" spans="1:6" ht="15.75" x14ac:dyDescent="0.25">
      <c r="A527"/>
      <c r="B527"/>
      <c r="C527" s="29" t="str">
        <f>IF(B527=0,"EMPTY",Setup!$D$11*((PI()*2*Setup!$B$22*A527*B527)/33000))</f>
        <v>EMPTY</v>
      </c>
      <c r="D527" s="30" t="str">
        <f>IF(Setup!$H$2=0,"EMPTY",IF(B527=0,"EMPTY",B527*Setup!$B$22*Setup!$G$6*Setup!$D$11))</f>
        <v>EMPTY</v>
      </c>
      <c r="E527" s="31">
        <f>IF(Setup!$H$2=0,-1,IF(A527=0,-1,A527*1/(Setup!$G$6)))</f>
        <v>-1</v>
      </c>
      <c r="F527" s="31"/>
    </row>
    <row r="528" spans="1:6" ht="15.75" x14ac:dyDescent="0.25">
      <c r="A528"/>
      <c r="B528"/>
      <c r="C528" s="29" t="str">
        <f>IF(B528=0,"EMPTY",Setup!$D$11*((PI()*2*Setup!$B$22*A528*B528)/33000))</f>
        <v>EMPTY</v>
      </c>
      <c r="D528" s="30" t="str">
        <f>IF(Setup!$H$2=0,"EMPTY",IF(B528=0,"EMPTY",B528*Setup!$B$22*Setup!$G$6*Setup!$D$11))</f>
        <v>EMPTY</v>
      </c>
      <c r="E528" s="31">
        <f>IF(Setup!$H$2=0,-1,IF(A528=0,-1,A528*1/(Setup!$G$6)))</f>
        <v>-1</v>
      </c>
      <c r="F528" s="31"/>
    </row>
    <row r="529" spans="1:6" ht="15.75" x14ac:dyDescent="0.25">
      <c r="A529"/>
      <c r="B529"/>
      <c r="C529" s="29" t="str">
        <f>IF(B529=0,"EMPTY",Setup!$D$11*((PI()*2*Setup!$B$22*A529*B529)/33000))</f>
        <v>EMPTY</v>
      </c>
      <c r="D529" s="30" t="str">
        <f>IF(Setup!$H$2=0,"EMPTY",IF(B529=0,"EMPTY",B529*Setup!$B$22*Setup!$G$6*Setup!$D$11))</f>
        <v>EMPTY</v>
      </c>
      <c r="E529" s="31">
        <f>IF(Setup!$H$2=0,-1,IF(A529=0,-1,A529*1/(Setup!$G$6)))</f>
        <v>-1</v>
      </c>
      <c r="F529" s="31"/>
    </row>
    <row r="530" spans="1:6" ht="15.75" x14ac:dyDescent="0.25">
      <c r="A530"/>
      <c r="B530"/>
      <c r="C530" s="29" t="str">
        <f>IF(B530=0,"EMPTY",Setup!$D$11*((PI()*2*Setup!$B$22*A530*B530)/33000))</f>
        <v>EMPTY</v>
      </c>
      <c r="D530" s="30" t="str">
        <f>IF(Setup!$H$2=0,"EMPTY",IF(B530=0,"EMPTY",B530*Setup!$B$22*Setup!$G$6*Setup!$D$11))</f>
        <v>EMPTY</v>
      </c>
      <c r="E530" s="31">
        <f>IF(Setup!$H$2=0,-1,IF(A530=0,-1,A530*1/(Setup!$G$6)))</f>
        <v>-1</v>
      </c>
      <c r="F530" s="31"/>
    </row>
    <row r="531" spans="1:6" ht="15.75" x14ac:dyDescent="0.25">
      <c r="A531"/>
      <c r="B531"/>
      <c r="C531" s="29" t="str">
        <f>IF(B531=0,"EMPTY",Setup!$D$11*((PI()*2*Setup!$B$22*A531*B531)/33000))</f>
        <v>EMPTY</v>
      </c>
      <c r="D531" s="30" t="str">
        <f>IF(Setup!$H$2=0,"EMPTY",IF(B531=0,"EMPTY",B531*Setup!$B$22*Setup!$G$6*Setup!$D$11))</f>
        <v>EMPTY</v>
      </c>
      <c r="E531" s="31">
        <f>IF(Setup!$H$2=0,-1,IF(A531=0,-1,A531*1/(Setup!$G$6)))</f>
        <v>-1</v>
      </c>
      <c r="F531" s="31"/>
    </row>
    <row r="532" spans="1:6" ht="15.75" x14ac:dyDescent="0.25">
      <c r="A532"/>
      <c r="B532"/>
      <c r="C532" s="29" t="str">
        <f>IF(B532=0,"EMPTY",Setup!$D$11*((PI()*2*Setup!$B$22*A532*B532)/33000))</f>
        <v>EMPTY</v>
      </c>
      <c r="D532" s="30" t="str">
        <f>IF(Setup!$H$2=0,"EMPTY",IF(B532=0,"EMPTY",B532*Setup!$B$22*Setup!$G$6*Setup!$D$11))</f>
        <v>EMPTY</v>
      </c>
      <c r="E532" s="31">
        <f>IF(Setup!$H$2=0,-1,IF(A532=0,-1,A532*1/(Setup!$G$6)))</f>
        <v>-1</v>
      </c>
      <c r="F532" s="31"/>
    </row>
    <row r="533" spans="1:6" ht="15.75" x14ac:dyDescent="0.25">
      <c r="A533"/>
      <c r="B533"/>
      <c r="C533" s="29" t="str">
        <f>IF(B533=0,"EMPTY",Setup!$D$11*((PI()*2*Setup!$B$22*A533*B533)/33000))</f>
        <v>EMPTY</v>
      </c>
      <c r="D533" s="30" t="str">
        <f>IF(Setup!$H$2=0,"EMPTY",IF(B533=0,"EMPTY",B533*Setup!$B$22*Setup!$G$6*Setup!$D$11))</f>
        <v>EMPTY</v>
      </c>
      <c r="E533" s="31">
        <f>IF(Setup!$H$2=0,-1,IF(A533=0,-1,A533*1/(Setup!$G$6)))</f>
        <v>-1</v>
      </c>
      <c r="F533" s="31"/>
    </row>
    <row r="534" spans="1:6" ht="15.75" x14ac:dyDescent="0.25">
      <c r="A534"/>
      <c r="B534"/>
      <c r="C534" s="29" t="str">
        <f>IF(B534=0,"EMPTY",Setup!$D$11*((PI()*2*Setup!$B$22*A534*B534)/33000))</f>
        <v>EMPTY</v>
      </c>
      <c r="D534" s="30" t="str">
        <f>IF(Setup!$H$2=0,"EMPTY",IF(B534=0,"EMPTY",B534*Setup!$B$22*Setup!$G$6*Setup!$D$11))</f>
        <v>EMPTY</v>
      </c>
      <c r="E534" s="31">
        <f>IF(Setup!$H$2=0,-1,IF(A534=0,-1,A534*1/(Setup!$G$6)))</f>
        <v>-1</v>
      </c>
      <c r="F534" s="31"/>
    </row>
    <row r="535" spans="1:6" ht="15.75" x14ac:dyDescent="0.25">
      <c r="A535"/>
      <c r="B535"/>
      <c r="C535" s="29" t="str">
        <f>IF(B535=0,"EMPTY",Setup!$D$11*((PI()*2*Setup!$B$22*A535*B535)/33000))</f>
        <v>EMPTY</v>
      </c>
      <c r="D535" s="30" t="str">
        <f>IF(Setup!$H$2=0,"EMPTY",IF(B535=0,"EMPTY",B535*Setup!$B$22*Setup!$G$6*Setup!$D$11))</f>
        <v>EMPTY</v>
      </c>
      <c r="E535" s="31">
        <f>IF(Setup!$H$2=0,-1,IF(A535=0,-1,A535*1/(Setup!$G$6)))</f>
        <v>-1</v>
      </c>
      <c r="F535" s="31"/>
    </row>
    <row r="536" spans="1:6" ht="15.75" x14ac:dyDescent="0.25">
      <c r="A536"/>
      <c r="B536"/>
      <c r="C536" s="29" t="str">
        <f>IF(B536=0,"EMPTY",Setup!$D$11*((PI()*2*Setup!$B$22*A536*B536)/33000))</f>
        <v>EMPTY</v>
      </c>
      <c r="D536" s="30" t="str">
        <f>IF(Setup!$H$2=0,"EMPTY",IF(B536=0,"EMPTY",B536*Setup!$B$22*Setup!$G$6*Setup!$D$11))</f>
        <v>EMPTY</v>
      </c>
      <c r="E536" s="31">
        <f>IF(Setup!$H$2=0,-1,IF(A536=0,-1,A536*1/(Setup!$G$6)))</f>
        <v>-1</v>
      </c>
      <c r="F536" s="31"/>
    </row>
    <row r="537" spans="1:6" ht="15.75" x14ac:dyDescent="0.25">
      <c r="A537"/>
      <c r="B537"/>
      <c r="C537" s="29" t="str">
        <f>IF(B537=0,"EMPTY",Setup!$D$11*((PI()*2*Setup!$B$22*A537*B537)/33000))</f>
        <v>EMPTY</v>
      </c>
      <c r="D537" s="30" t="str">
        <f>IF(Setup!$H$2=0,"EMPTY",IF(B537=0,"EMPTY",B537*Setup!$B$22*Setup!$G$6*Setup!$D$11))</f>
        <v>EMPTY</v>
      </c>
      <c r="E537" s="31">
        <f>IF(Setup!$H$2=0,-1,IF(A537=0,-1,A537*1/(Setup!$G$6)))</f>
        <v>-1</v>
      </c>
      <c r="F537" s="31"/>
    </row>
    <row r="538" spans="1:6" ht="15.75" x14ac:dyDescent="0.25">
      <c r="A538"/>
      <c r="B538"/>
      <c r="C538" s="29" t="str">
        <f>IF(B538=0,"EMPTY",Setup!$D$11*((PI()*2*Setup!$B$22*A538*B538)/33000))</f>
        <v>EMPTY</v>
      </c>
      <c r="D538" s="30" t="str">
        <f>IF(Setup!$H$2=0,"EMPTY",IF(B538=0,"EMPTY",B538*Setup!$B$22*Setup!$G$6*Setup!$D$11))</f>
        <v>EMPTY</v>
      </c>
      <c r="E538" s="31">
        <f>IF(Setup!$H$2=0,-1,IF(A538=0,-1,A538*1/(Setup!$G$6)))</f>
        <v>-1</v>
      </c>
      <c r="F538" s="31"/>
    </row>
    <row r="539" spans="1:6" ht="15.75" x14ac:dyDescent="0.25">
      <c r="A539"/>
      <c r="B539"/>
      <c r="C539" s="29" t="str">
        <f>IF(B539=0,"EMPTY",Setup!$D$11*((PI()*2*Setup!$B$22*A539*B539)/33000))</f>
        <v>EMPTY</v>
      </c>
      <c r="D539" s="30" t="str">
        <f>IF(Setup!$H$2=0,"EMPTY",IF(B539=0,"EMPTY",B539*Setup!$B$22*Setup!$G$6*Setup!$D$11))</f>
        <v>EMPTY</v>
      </c>
      <c r="E539" s="31">
        <f>IF(Setup!$H$2=0,-1,IF(A539=0,-1,A539*1/(Setup!$G$6)))</f>
        <v>-1</v>
      </c>
      <c r="F539" s="31"/>
    </row>
    <row r="540" spans="1:6" ht="15.75" x14ac:dyDescent="0.25">
      <c r="A540"/>
      <c r="B540"/>
      <c r="C540" s="29" t="str">
        <f>IF(B540=0,"EMPTY",Setup!$D$11*((PI()*2*Setup!$B$22*A540*B540)/33000))</f>
        <v>EMPTY</v>
      </c>
      <c r="D540" s="30" t="str">
        <f>IF(Setup!$H$2=0,"EMPTY",IF(B540=0,"EMPTY",B540*Setup!$B$22*Setup!$G$6*Setup!$D$11))</f>
        <v>EMPTY</v>
      </c>
      <c r="E540" s="31">
        <f>IF(Setup!$H$2=0,-1,IF(A540=0,-1,A540*1/(Setup!$G$6)))</f>
        <v>-1</v>
      </c>
      <c r="F540" s="31"/>
    </row>
    <row r="541" spans="1:6" ht="15.75" x14ac:dyDescent="0.25">
      <c r="A541"/>
      <c r="B541"/>
      <c r="C541" s="29" t="str">
        <f>IF(B541=0,"EMPTY",Setup!$D$11*((PI()*2*Setup!$B$22*A541*B541)/33000))</f>
        <v>EMPTY</v>
      </c>
      <c r="D541" s="30" t="str">
        <f>IF(Setup!$H$2=0,"EMPTY",IF(B541=0,"EMPTY",B541*Setup!$B$22*Setup!$G$6*Setup!$D$11))</f>
        <v>EMPTY</v>
      </c>
      <c r="E541" s="31">
        <f>IF(Setup!$H$2=0,-1,IF(A541=0,-1,A541*1/(Setup!$G$6)))</f>
        <v>-1</v>
      </c>
      <c r="F541" s="31"/>
    </row>
    <row r="542" spans="1:6" ht="15.75" x14ac:dyDescent="0.25">
      <c r="A542"/>
      <c r="B542"/>
      <c r="C542" s="29" t="str">
        <f>IF(B542=0,"EMPTY",Setup!$D$11*((PI()*2*Setup!$B$22*A542*B542)/33000))</f>
        <v>EMPTY</v>
      </c>
      <c r="D542" s="30" t="str">
        <f>IF(Setup!$H$2=0,"EMPTY",IF(B542=0,"EMPTY",B542*Setup!$B$22*Setup!$G$6*Setup!$D$11))</f>
        <v>EMPTY</v>
      </c>
      <c r="E542" s="31">
        <f>IF(Setup!$H$2=0,-1,IF(A542=0,-1,A542*1/(Setup!$G$6)))</f>
        <v>-1</v>
      </c>
      <c r="F542" s="31"/>
    </row>
    <row r="543" spans="1:6" ht="15.75" x14ac:dyDescent="0.25">
      <c r="A543"/>
      <c r="B543"/>
      <c r="C543" s="29" t="str">
        <f>IF(B543=0,"EMPTY",Setup!$D$11*((PI()*2*Setup!$B$22*A543*B543)/33000))</f>
        <v>EMPTY</v>
      </c>
      <c r="D543" s="30" t="str">
        <f>IF(Setup!$H$2=0,"EMPTY",IF(B543=0,"EMPTY",B543*Setup!$B$22*Setup!$G$6*Setup!$D$11))</f>
        <v>EMPTY</v>
      </c>
      <c r="E543" s="31">
        <f>IF(Setup!$H$2=0,-1,IF(A543=0,-1,A543*1/(Setup!$G$6)))</f>
        <v>-1</v>
      </c>
      <c r="F543" s="31"/>
    </row>
    <row r="544" spans="1:6" ht="15.75" x14ac:dyDescent="0.25">
      <c r="A544"/>
      <c r="B544"/>
      <c r="C544" s="29" t="str">
        <f>IF(B544=0,"EMPTY",Setup!$D$11*((PI()*2*Setup!$B$22*A544*B544)/33000))</f>
        <v>EMPTY</v>
      </c>
      <c r="D544" s="30" t="str">
        <f>IF(Setup!$H$2=0,"EMPTY",IF(B544=0,"EMPTY",B544*Setup!$B$22*Setup!$G$6*Setup!$D$11))</f>
        <v>EMPTY</v>
      </c>
      <c r="E544" s="31">
        <f>IF(Setup!$H$2=0,-1,IF(A544=0,-1,A544*1/(Setup!$G$6)))</f>
        <v>-1</v>
      </c>
      <c r="F544" s="31"/>
    </row>
    <row r="545" spans="1:6" ht="15.75" x14ac:dyDescent="0.25">
      <c r="A545"/>
      <c r="B545"/>
      <c r="C545" s="29" t="str">
        <f>IF(B545=0,"EMPTY",Setup!$D$11*((PI()*2*Setup!$B$22*A545*B545)/33000))</f>
        <v>EMPTY</v>
      </c>
      <c r="D545" s="30" t="str">
        <f>IF(Setup!$H$2=0,"EMPTY",IF(B545=0,"EMPTY",B545*Setup!$B$22*Setup!$G$6*Setup!$D$11))</f>
        <v>EMPTY</v>
      </c>
      <c r="E545" s="31">
        <f>IF(Setup!$H$2=0,-1,IF(A545=0,-1,A545*1/(Setup!$G$6)))</f>
        <v>-1</v>
      </c>
      <c r="F545" s="31"/>
    </row>
    <row r="546" spans="1:6" ht="15.75" x14ac:dyDescent="0.25">
      <c r="A546"/>
      <c r="B546"/>
      <c r="C546" s="29" t="str">
        <f>IF(B546=0,"EMPTY",Setup!$D$11*((PI()*2*Setup!$B$22*A546*B546)/33000))</f>
        <v>EMPTY</v>
      </c>
      <c r="D546" s="30" t="str">
        <f>IF(Setup!$H$2=0,"EMPTY",IF(B546=0,"EMPTY",B546*Setup!$B$22*Setup!$G$6*Setup!$D$11))</f>
        <v>EMPTY</v>
      </c>
      <c r="E546" s="31">
        <f>IF(Setup!$H$2=0,-1,IF(A546=0,-1,A546*1/(Setup!$G$6)))</f>
        <v>-1</v>
      </c>
      <c r="F546" s="31"/>
    </row>
    <row r="547" spans="1:6" ht="15.75" x14ac:dyDescent="0.25">
      <c r="A547"/>
      <c r="B547"/>
      <c r="C547" s="29" t="str">
        <f>IF(B547=0,"EMPTY",Setup!$D$11*((PI()*2*Setup!$B$22*A547*B547)/33000))</f>
        <v>EMPTY</v>
      </c>
      <c r="D547" s="30" t="str">
        <f>IF(Setup!$H$2=0,"EMPTY",IF(B547=0,"EMPTY",B547*Setup!$B$22*Setup!$G$6*Setup!$D$11))</f>
        <v>EMPTY</v>
      </c>
      <c r="E547" s="31">
        <f>IF(Setup!$H$2=0,-1,IF(A547=0,-1,A547*1/(Setup!$G$6)))</f>
        <v>-1</v>
      </c>
      <c r="F547" s="31"/>
    </row>
    <row r="548" spans="1:6" ht="15.75" x14ac:dyDescent="0.25">
      <c r="A548"/>
      <c r="B548"/>
      <c r="C548" s="29" t="str">
        <f>IF(B548=0,"EMPTY",Setup!$D$11*((PI()*2*Setup!$B$22*A548*B548)/33000))</f>
        <v>EMPTY</v>
      </c>
      <c r="D548" s="30" t="str">
        <f>IF(Setup!$H$2=0,"EMPTY",IF(B548=0,"EMPTY",B548*Setup!$B$22*Setup!$G$6*Setup!$D$11))</f>
        <v>EMPTY</v>
      </c>
      <c r="E548" s="31">
        <f>IF(Setup!$H$2=0,-1,IF(A548=0,-1,A548*1/(Setup!$G$6)))</f>
        <v>-1</v>
      </c>
      <c r="F548" s="31"/>
    </row>
    <row r="549" spans="1:6" ht="15.75" x14ac:dyDescent="0.25">
      <c r="A549"/>
      <c r="B549"/>
      <c r="C549" s="29" t="str">
        <f>IF(B549=0,"EMPTY",Setup!$D$11*((PI()*2*Setup!$B$22*A549*B549)/33000))</f>
        <v>EMPTY</v>
      </c>
      <c r="D549" s="30" t="str">
        <f>IF(Setup!$H$2=0,"EMPTY",IF(B549=0,"EMPTY",B549*Setup!$B$22*Setup!$G$6*Setup!$D$11))</f>
        <v>EMPTY</v>
      </c>
      <c r="E549" s="31">
        <f>IF(Setup!$H$2=0,-1,IF(A549=0,-1,A549*1/(Setup!$G$6)))</f>
        <v>-1</v>
      </c>
      <c r="F549" s="31"/>
    </row>
    <row r="550" spans="1:6" ht="15.75" x14ac:dyDescent="0.25">
      <c r="A550"/>
      <c r="B550"/>
      <c r="C550" s="29" t="str">
        <f>IF(B550=0,"EMPTY",Setup!$D$11*((PI()*2*Setup!$B$22*A550*B550)/33000))</f>
        <v>EMPTY</v>
      </c>
      <c r="D550" s="30" t="str">
        <f>IF(Setup!$H$2=0,"EMPTY",IF(B550=0,"EMPTY",B550*Setup!$B$22*Setup!$G$6*Setup!$D$11))</f>
        <v>EMPTY</v>
      </c>
      <c r="E550" s="31">
        <f>IF(Setup!$H$2=0,-1,IF(A550=0,-1,A550*1/(Setup!$G$6)))</f>
        <v>-1</v>
      </c>
      <c r="F550" s="31"/>
    </row>
    <row r="551" spans="1:6" ht="15.75" x14ac:dyDescent="0.25">
      <c r="A551"/>
      <c r="B551"/>
      <c r="C551" s="29" t="str">
        <f>IF(B551=0,"EMPTY",Setup!$D$11*((PI()*2*Setup!$B$22*A551*B551)/33000))</f>
        <v>EMPTY</v>
      </c>
      <c r="D551" s="30" t="str">
        <f>IF(Setup!$H$2=0,"EMPTY",IF(B551=0,"EMPTY",B551*Setup!$B$22*Setup!$G$6*Setup!$D$11))</f>
        <v>EMPTY</v>
      </c>
      <c r="E551" s="31">
        <f>IF(Setup!$H$2=0,-1,IF(A551=0,-1,A551*1/(Setup!$G$6)))</f>
        <v>-1</v>
      </c>
      <c r="F551" s="31"/>
    </row>
    <row r="552" spans="1:6" ht="15.75" x14ac:dyDescent="0.25">
      <c r="A552"/>
      <c r="B552"/>
      <c r="C552" s="29" t="str">
        <f>IF(B552=0,"EMPTY",Setup!$D$11*((PI()*2*Setup!$B$22*A552*B552)/33000))</f>
        <v>EMPTY</v>
      </c>
      <c r="D552" s="30" t="str">
        <f>IF(Setup!$H$2=0,"EMPTY",IF(B552=0,"EMPTY",B552*Setup!$B$22*Setup!$G$6*Setup!$D$11))</f>
        <v>EMPTY</v>
      </c>
      <c r="E552" s="31">
        <f>IF(Setup!$H$2=0,-1,IF(A552=0,-1,A552*1/(Setup!$G$6)))</f>
        <v>-1</v>
      </c>
      <c r="F552" s="31"/>
    </row>
    <row r="553" spans="1:6" ht="15.75" x14ac:dyDescent="0.25">
      <c r="A553"/>
      <c r="B553"/>
      <c r="C553" s="29" t="str">
        <f>IF(B553=0,"EMPTY",Setup!$D$11*((PI()*2*Setup!$B$22*A553*B553)/33000))</f>
        <v>EMPTY</v>
      </c>
      <c r="D553" s="30" t="str">
        <f>IF(Setup!$H$2=0,"EMPTY",IF(B553=0,"EMPTY",B553*Setup!$B$22*Setup!$G$6*Setup!$D$11))</f>
        <v>EMPTY</v>
      </c>
      <c r="E553" s="31">
        <f>IF(Setup!$H$2=0,-1,IF(A553=0,-1,A553*1/(Setup!$G$6)))</f>
        <v>-1</v>
      </c>
      <c r="F553" s="31"/>
    </row>
    <row r="554" spans="1:6" ht="15.75" x14ac:dyDescent="0.25">
      <c r="A554"/>
      <c r="B554"/>
      <c r="C554" s="29" t="str">
        <f>IF(B554=0,"EMPTY",Setup!$D$11*((PI()*2*Setup!$B$22*A554*B554)/33000))</f>
        <v>EMPTY</v>
      </c>
      <c r="D554" s="30" t="str">
        <f>IF(Setup!$H$2=0,"EMPTY",IF(B554=0,"EMPTY",B554*Setup!$B$22*Setup!$G$6*Setup!$D$11))</f>
        <v>EMPTY</v>
      </c>
      <c r="E554" s="31">
        <f>IF(Setup!$H$2=0,-1,IF(A554=0,-1,A554*1/(Setup!$G$6)))</f>
        <v>-1</v>
      </c>
      <c r="F554" s="31"/>
    </row>
    <row r="555" spans="1:6" ht="15.75" x14ac:dyDescent="0.25">
      <c r="A555"/>
      <c r="B555"/>
      <c r="C555" s="29" t="str">
        <f>IF(B555=0,"EMPTY",Setup!$D$11*((PI()*2*Setup!$B$22*A555*B555)/33000))</f>
        <v>EMPTY</v>
      </c>
      <c r="D555" s="30" t="str">
        <f>IF(Setup!$H$2=0,"EMPTY",IF(B555=0,"EMPTY",B555*Setup!$B$22*Setup!$G$6*Setup!$D$11))</f>
        <v>EMPTY</v>
      </c>
      <c r="E555" s="31">
        <f>IF(Setup!$H$2=0,-1,IF(A555=0,-1,A555*1/(Setup!$G$6)))</f>
        <v>-1</v>
      </c>
      <c r="F555" s="31"/>
    </row>
    <row r="556" spans="1:6" ht="15.75" x14ac:dyDescent="0.25">
      <c r="A556"/>
      <c r="B556"/>
      <c r="C556" s="29" t="str">
        <f>IF(B556=0,"EMPTY",Setup!$D$11*((PI()*2*Setup!$B$22*A556*B556)/33000))</f>
        <v>EMPTY</v>
      </c>
      <c r="D556" s="30" t="str">
        <f>IF(Setup!$H$2=0,"EMPTY",IF(B556=0,"EMPTY",B556*Setup!$B$22*Setup!$G$6*Setup!$D$11))</f>
        <v>EMPTY</v>
      </c>
      <c r="E556" s="31">
        <f>IF(Setup!$H$2=0,-1,IF(A556=0,-1,A556*1/(Setup!$G$6)))</f>
        <v>-1</v>
      </c>
      <c r="F556" s="31"/>
    </row>
    <row r="557" spans="1:6" ht="15.75" x14ac:dyDescent="0.25">
      <c r="A557"/>
      <c r="B557"/>
      <c r="C557" s="29" t="str">
        <f>IF(B557=0,"EMPTY",Setup!$D$11*((PI()*2*Setup!$B$22*A557*B557)/33000))</f>
        <v>EMPTY</v>
      </c>
      <c r="D557" s="30" t="str">
        <f>IF(Setup!$H$2=0,"EMPTY",IF(B557=0,"EMPTY",B557*Setup!$B$22*Setup!$G$6*Setup!$D$11))</f>
        <v>EMPTY</v>
      </c>
      <c r="E557" s="31">
        <f>IF(Setup!$H$2=0,-1,IF(A557=0,-1,A557*1/(Setup!$G$6)))</f>
        <v>-1</v>
      </c>
      <c r="F557" s="31"/>
    </row>
    <row r="558" spans="1:6" ht="15.75" x14ac:dyDescent="0.25">
      <c r="A558"/>
      <c r="B558"/>
      <c r="C558" s="29" t="str">
        <f>IF(B558=0,"EMPTY",Setup!$D$11*((PI()*2*Setup!$B$22*A558*B558)/33000))</f>
        <v>EMPTY</v>
      </c>
      <c r="D558" s="30" t="str">
        <f>IF(Setup!$H$2=0,"EMPTY",IF(B558=0,"EMPTY",B558*Setup!$B$22*Setup!$G$6*Setup!$D$11))</f>
        <v>EMPTY</v>
      </c>
      <c r="E558" s="31">
        <f>IF(Setup!$H$2=0,-1,IF(A558=0,-1,A558*1/(Setup!$G$6)))</f>
        <v>-1</v>
      </c>
      <c r="F558" s="31"/>
    </row>
    <row r="559" spans="1:6" ht="15.75" x14ac:dyDescent="0.25">
      <c r="A559"/>
      <c r="B559"/>
      <c r="C559" s="29" t="str">
        <f>IF(B559=0,"EMPTY",Setup!$D$11*((PI()*2*Setup!$B$22*A559*B559)/33000))</f>
        <v>EMPTY</v>
      </c>
      <c r="D559" s="30" t="str">
        <f>IF(Setup!$H$2=0,"EMPTY",IF(B559=0,"EMPTY",B559*Setup!$B$22*Setup!$G$6*Setup!$D$11))</f>
        <v>EMPTY</v>
      </c>
      <c r="E559" s="31">
        <f>IF(Setup!$H$2=0,-1,IF(A559=0,-1,A559*1/(Setup!$G$6)))</f>
        <v>-1</v>
      </c>
      <c r="F559" s="31"/>
    </row>
    <row r="560" spans="1:6" ht="15.75" x14ac:dyDescent="0.25">
      <c r="A560"/>
      <c r="B560"/>
      <c r="C560" s="29" t="str">
        <f>IF(B560=0,"EMPTY",Setup!$D$11*((PI()*2*Setup!$B$22*A560*B560)/33000))</f>
        <v>EMPTY</v>
      </c>
      <c r="D560" s="30" t="str">
        <f>IF(Setup!$H$2=0,"EMPTY",IF(B560=0,"EMPTY",B560*Setup!$B$22*Setup!$G$6*Setup!$D$11))</f>
        <v>EMPTY</v>
      </c>
      <c r="E560" s="31">
        <f>IF(Setup!$H$2=0,-1,IF(A560=0,-1,A560*1/(Setup!$G$6)))</f>
        <v>-1</v>
      </c>
      <c r="F560" s="31"/>
    </row>
    <row r="561" spans="1:6" ht="15.75" x14ac:dyDescent="0.25">
      <c r="A561"/>
      <c r="B561"/>
      <c r="C561" s="29" t="str">
        <f>IF(B561=0,"EMPTY",Setup!$D$11*((PI()*2*Setup!$B$22*A561*B561)/33000))</f>
        <v>EMPTY</v>
      </c>
      <c r="D561" s="30" t="str">
        <f>IF(Setup!$H$2=0,"EMPTY",IF(B561=0,"EMPTY",B561*Setup!$B$22*Setup!$G$6*Setup!$D$11))</f>
        <v>EMPTY</v>
      </c>
      <c r="E561" s="31">
        <f>IF(Setup!$H$2=0,-1,IF(A561=0,-1,A561*1/(Setup!$G$6)))</f>
        <v>-1</v>
      </c>
      <c r="F561" s="31"/>
    </row>
    <row r="562" spans="1:6" ht="15.75" x14ac:dyDescent="0.25">
      <c r="A562"/>
      <c r="B562"/>
      <c r="C562" s="29" t="str">
        <f>IF(B562=0,"EMPTY",Setup!$D$11*((PI()*2*Setup!$B$22*A562*B562)/33000))</f>
        <v>EMPTY</v>
      </c>
      <c r="D562" s="30" t="str">
        <f>IF(Setup!$H$2=0,"EMPTY",IF(B562=0,"EMPTY",B562*Setup!$B$22*Setup!$G$6*Setup!$D$11))</f>
        <v>EMPTY</v>
      </c>
      <c r="E562" s="31">
        <f>IF(Setup!$H$2=0,-1,IF(A562=0,-1,A562*1/(Setup!$G$6)))</f>
        <v>-1</v>
      </c>
      <c r="F562" s="31"/>
    </row>
    <row r="563" spans="1:6" ht="15.75" x14ac:dyDescent="0.25">
      <c r="A563"/>
      <c r="B563"/>
      <c r="C563" s="29" t="str">
        <f>IF(B563=0,"EMPTY",Setup!$D$11*((PI()*2*Setup!$B$22*A563*B563)/33000))</f>
        <v>EMPTY</v>
      </c>
      <c r="D563" s="30" t="str">
        <f>IF(Setup!$H$2=0,"EMPTY",IF(B563=0,"EMPTY",B563*Setup!$B$22*Setup!$G$6*Setup!$D$11))</f>
        <v>EMPTY</v>
      </c>
      <c r="E563" s="31">
        <f>IF(Setup!$H$2=0,-1,IF(A563=0,-1,A563*1/(Setup!$G$6)))</f>
        <v>-1</v>
      </c>
      <c r="F563" s="31"/>
    </row>
    <row r="564" spans="1:6" ht="15.75" x14ac:dyDescent="0.25">
      <c r="A564"/>
      <c r="B564"/>
      <c r="C564" s="29" t="str">
        <f>IF(B564=0,"EMPTY",Setup!$D$11*((PI()*2*Setup!$B$22*A564*B564)/33000))</f>
        <v>EMPTY</v>
      </c>
      <c r="D564" s="30" t="str">
        <f>IF(Setup!$H$2=0,"EMPTY",IF(B564=0,"EMPTY",B564*Setup!$B$22*Setup!$G$6*Setup!$D$11))</f>
        <v>EMPTY</v>
      </c>
      <c r="E564" s="31">
        <f>IF(Setup!$H$2=0,-1,IF(A564=0,-1,A564*1/(Setup!$G$6)))</f>
        <v>-1</v>
      </c>
      <c r="F564" s="31"/>
    </row>
    <row r="565" spans="1:6" ht="15.75" x14ac:dyDescent="0.25">
      <c r="A565"/>
      <c r="B565"/>
      <c r="C565" s="29" t="str">
        <f>IF(B565=0,"EMPTY",Setup!$D$11*((PI()*2*Setup!$B$22*A565*B565)/33000))</f>
        <v>EMPTY</v>
      </c>
      <c r="D565" s="30" t="str">
        <f>IF(Setup!$H$2=0,"EMPTY",IF(B565=0,"EMPTY",B565*Setup!$B$22*Setup!$G$6*Setup!$D$11))</f>
        <v>EMPTY</v>
      </c>
      <c r="E565" s="31">
        <f>IF(Setup!$H$2=0,-1,IF(A565=0,-1,A565*1/(Setup!$G$6)))</f>
        <v>-1</v>
      </c>
      <c r="F565" s="31"/>
    </row>
    <row r="566" spans="1:6" ht="15.75" x14ac:dyDescent="0.25">
      <c r="A566"/>
      <c r="B566"/>
      <c r="C566" s="29" t="str">
        <f>IF(B566=0,"EMPTY",Setup!$D$11*((PI()*2*Setup!$B$22*A566*B566)/33000))</f>
        <v>EMPTY</v>
      </c>
      <c r="D566" s="30" t="str">
        <f>IF(Setup!$H$2=0,"EMPTY",IF(B566=0,"EMPTY",B566*Setup!$B$22*Setup!$G$6*Setup!$D$11))</f>
        <v>EMPTY</v>
      </c>
      <c r="E566" s="31">
        <f>IF(Setup!$H$2=0,-1,IF(A566=0,-1,A566*1/(Setup!$G$6)))</f>
        <v>-1</v>
      </c>
      <c r="F566" s="31"/>
    </row>
    <row r="567" spans="1:6" ht="15.75" x14ac:dyDescent="0.25">
      <c r="A567"/>
      <c r="B567"/>
      <c r="C567" s="29" t="str">
        <f>IF(B567=0,"EMPTY",Setup!$D$11*((PI()*2*Setup!$B$22*A567*B567)/33000))</f>
        <v>EMPTY</v>
      </c>
      <c r="D567" s="30" t="str">
        <f>IF(Setup!$H$2=0,"EMPTY",IF(B567=0,"EMPTY",B567*Setup!$B$22*Setup!$G$6*Setup!$D$11))</f>
        <v>EMPTY</v>
      </c>
      <c r="E567" s="31">
        <f>IF(Setup!$H$2=0,-1,IF(A567=0,-1,A567*1/(Setup!$G$6)))</f>
        <v>-1</v>
      </c>
      <c r="F567" s="31"/>
    </row>
    <row r="568" spans="1:6" ht="15.75" x14ac:dyDescent="0.25">
      <c r="A568"/>
      <c r="B568"/>
      <c r="C568" s="29" t="str">
        <f>IF(B568=0,"EMPTY",Setup!$D$11*((PI()*2*Setup!$B$22*A568*B568)/33000))</f>
        <v>EMPTY</v>
      </c>
      <c r="D568" s="30" t="str">
        <f>IF(Setup!$H$2=0,"EMPTY",IF(B568=0,"EMPTY",B568*Setup!$B$22*Setup!$G$6*Setup!$D$11))</f>
        <v>EMPTY</v>
      </c>
      <c r="E568" s="31">
        <f>IF(Setup!$H$2=0,-1,IF(A568=0,-1,A568*1/(Setup!$G$6)))</f>
        <v>-1</v>
      </c>
      <c r="F568" s="31"/>
    </row>
    <row r="569" spans="1:6" ht="15.75" x14ac:dyDescent="0.25">
      <c r="A569"/>
      <c r="B569"/>
      <c r="C569" s="29" t="str">
        <f>IF(B569=0,"EMPTY",Setup!$D$11*((PI()*2*Setup!$B$22*A569*B569)/33000))</f>
        <v>EMPTY</v>
      </c>
      <c r="D569" s="30" t="str">
        <f>IF(Setup!$H$2=0,"EMPTY",IF(B569=0,"EMPTY",B569*Setup!$B$22*Setup!$G$6*Setup!$D$11))</f>
        <v>EMPTY</v>
      </c>
      <c r="E569" s="31">
        <f>IF(Setup!$H$2=0,-1,IF(A569=0,-1,A569*1/(Setup!$G$6)))</f>
        <v>-1</v>
      </c>
      <c r="F569" s="31"/>
    </row>
    <row r="570" spans="1:6" ht="15.75" x14ac:dyDescent="0.25">
      <c r="A570"/>
      <c r="B570"/>
      <c r="C570" s="29" t="str">
        <f>IF(B570=0,"EMPTY",Setup!$D$11*((PI()*2*Setup!$B$22*A570*B570)/33000))</f>
        <v>EMPTY</v>
      </c>
      <c r="D570" s="30" t="str">
        <f>IF(Setup!$H$2=0,"EMPTY",IF(B570=0,"EMPTY",B570*Setup!$B$22*Setup!$G$6*Setup!$D$11))</f>
        <v>EMPTY</v>
      </c>
      <c r="E570" s="31">
        <f>IF(Setup!$H$2=0,-1,IF(A570=0,-1,A570*1/(Setup!$G$6)))</f>
        <v>-1</v>
      </c>
      <c r="F570" s="31"/>
    </row>
    <row r="571" spans="1:6" ht="15.75" x14ac:dyDescent="0.25">
      <c r="A571"/>
      <c r="B571"/>
      <c r="C571" s="29" t="str">
        <f>IF(B571=0,"EMPTY",Setup!$D$11*((PI()*2*Setup!$B$22*A571*B571)/33000))</f>
        <v>EMPTY</v>
      </c>
      <c r="D571" s="30" t="str">
        <f>IF(Setup!$H$2=0,"EMPTY",IF(B571=0,"EMPTY",B571*Setup!$B$22*Setup!$G$6*Setup!$D$11))</f>
        <v>EMPTY</v>
      </c>
      <c r="E571" s="31">
        <f>IF(Setup!$H$2=0,-1,IF(A571=0,-1,A571*1/(Setup!$G$6)))</f>
        <v>-1</v>
      </c>
      <c r="F571" s="31"/>
    </row>
    <row r="572" spans="1:6" ht="15.75" x14ac:dyDescent="0.25">
      <c r="A572"/>
      <c r="B572"/>
      <c r="C572" s="29" t="str">
        <f>IF(B572=0,"EMPTY",Setup!$D$11*((PI()*2*Setup!$B$22*A572*B572)/33000))</f>
        <v>EMPTY</v>
      </c>
      <c r="D572" s="30" t="str">
        <f>IF(Setup!$H$2=0,"EMPTY",IF(B572=0,"EMPTY",B572*Setup!$B$22*Setup!$G$6*Setup!$D$11))</f>
        <v>EMPTY</v>
      </c>
      <c r="E572" s="31">
        <f>IF(Setup!$H$2=0,-1,IF(A572=0,-1,A572*1/(Setup!$G$6)))</f>
        <v>-1</v>
      </c>
      <c r="F572" s="31"/>
    </row>
    <row r="573" spans="1:6" ht="15.75" x14ac:dyDescent="0.25">
      <c r="A573"/>
      <c r="B573"/>
      <c r="C573" s="29" t="str">
        <f>IF(B573=0,"EMPTY",Setup!$D$11*((PI()*2*Setup!$B$22*A573*B573)/33000))</f>
        <v>EMPTY</v>
      </c>
      <c r="D573" s="30" t="str">
        <f>IF(Setup!$H$2=0,"EMPTY",IF(B573=0,"EMPTY",B573*Setup!$B$22*Setup!$G$6*Setup!$D$11))</f>
        <v>EMPTY</v>
      </c>
      <c r="E573" s="31">
        <f>IF(Setup!$H$2=0,-1,IF(A573=0,-1,A573*1/(Setup!$G$6)))</f>
        <v>-1</v>
      </c>
      <c r="F573" s="31"/>
    </row>
    <row r="574" spans="1:6" ht="15.75" x14ac:dyDescent="0.25">
      <c r="A574"/>
      <c r="B574"/>
      <c r="C574" s="29" t="str">
        <f>IF(B574=0,"EMPTY",Setup!$D$11*((PI()*2*Setup!$B$22*A574*B574)/33000))</f>
        <v>EMPTY</v>
      </c>
      <c r="D574" s="30" t="str">
        <f>IF(Setup!$H$2=0,"EMPTY",IF(B574=0,"EMPTY",B574*Setup!$B$22*Setup!$G$6*Setup!$D$11))</f>
        <v>EMPTY</v>
      </c>
      <c r="E574" s="31">
        <f>IF(Setup!$H$2=0,-1,IF(A574=0,-1,A574*1/(Setup!$G$6)))</f>
        <v>-1</v>
      </c>
      <c r="F574" s="31"/>
    </row>
    <row r="575" spans="1:6" ht="15.75" x14ac:dyDescent="0.25">
      <c r="A575"/>
      <c r="B575"/>
      <c r="C575" s="29" t="str">
        <f>IF(B575=0,"EMPTY",Setup!$D$11*((PI()*2*Setup!$B$22*A575*B575)/33000))</f>
        <v>EMPTY</v>
      </c>
      <c r="D575" s="30" t="str">
        <f>IF(Setup!$H$2=0,"EMPTY",IF(B575=0,"EMPTY",B575*Setup!$B$22*Setup!$G$6*Setup!$D$11))</f>
        <v>EMPTY</v>
      </c>
      <c r="E575" s="31">
        <f>IF(Setup!$H$2=0,-1,IF(A575=0,-1,A575*1/(Setup!$G$6)))</f>
        <v>-1</v>
      </c>
      <c r="F575" s="31"/>
    </row>
    <row r="576" spans="1:6" ht="15.75" x14ac:dyDescent="0.25">
      <c r="A576"/>
      <c r="B576"/>
      <c r="C576" s="29" t="str">
        <f>IF(B576=0,"EMPTY",Setup!$D$11*((PI()*2*Setup!$B$22*A576*B576)/33000))</f>
        <v>EMPTY</v>
      </c>
      <c r="D576" s="30" t="str">
        <f>IF(Setup!$H$2=0,"EMPTY",IF(B576=0,"EMPTY",B576*Setup!$B$22*Setup!$G$6*Setup!$D$11))</f>
        <v>EMPTY</v>
      </c>
      <c r="E576" s="31">
        <f>IF(Setup!$H$2=0,-1,IF(A576=0,-1,A576*1/(Setup!$G$6)))</f>
        <v>-1</v>
      </c>
      <c r="F576" s="31"/>
    </row>
    <row r="577" spans="1:6" ht="15.75" x14ac:dyDescent="0.25">
      <c r="A577"/>
      <c r="B577"/>
      <c r="C577" s="29" t="str">
        <f>IF(B577=0,"EMPTY",Setup!$D$11*((PI()*2*Setup!$B$22*A577*B577)/33000))</f>
        <v>EMPTY</v>
      </c>
      <c r="D577" s="30" t="str">
        <f>IF(Setup!$H$2=0,"EMPTY",IF(B577=0,"EMPTY",B577*Setup!$B$22*Setup!$G$6*Setup!$D$11))</f>
        <v>EMPTY</v>
      </c>
      <c r="E577" s="31">
        <f>IF(Setup!$H$2=0,-1,IF(A577=0,-1,A577*1/(Setup!$G$6)))</f>
        <v>-1</v>
      </c>
      <c r="F577" s="31"/>
    </row>
    <row r="578" spans="1:6" ht="15.75" x14ac:dyDescent="0.25">
      <c r="A578"/>
      <c r="B578"/>
      <c r="C578" s="29" t="str">
        <f>IF(B578=0,"EMPTY",Setup!$D$11*((PI()*2*Setup!$B$22*A578*B578)/33000))</f>
        <v>EMPTY</v>
      </c>
      <c r="D578" s="30" t="str">
        <f>IF(Setup!$H$2=0,"EMPTY",IF(B578=0,"EMPTY",B578*Setup!$B$22*Setup!$G$6*Setup!$D$11))</f>
        <v>EMPTY</v>
      </c>
      <c r="E578" s="31">
        <f>IF(Setup!$H$2=0,-1,IF(A578=0,-1,A578*1/(Setup!$G$6)))</f>
        <v>-1</v>
      </c>
      <c r="F578" s="31"/>
    </row>
    <row r="579" spans="1:6" ht="15.75" x14ac:dyDescent="0.25">
      <c r="A579"/>
      <c r="B579"/>
      <c r="C579" s="29" t="str">
        <f>IF(B579=0,"EMPTY",Setup!$D$11*((PI()*2*Setup!$B$22*A579*B579)/33000))</f>
        <v>EMPTY</v>
      </c>
      <c r="D579" s="30" t="str">
        <f>IF(Setup!$H$2=0,"EMPTY",IF(B579=0,"EMPTY",B579*Setup!$B$22*Setup!$G$6*Setup!$D$11))</f>
        <v>EMPTY</v>
      </c>
      <c r="E579" s="31">
        <f>IF(Setup!$H$2=0,-1,IF(A579=0,-1,A579*1/(Setup!$G$6)))</f>
        <v>-1</v>
      </c>
      <c r="F579" s="31"/>
    </row>
    <row r="580" spans="1:6" ht="15.75" x14ac:dyDescent="0.25">
      <c r="A580"/>
      <c r="B580"/>
      <c r="C580" s="29" t="str">
        <f>IF(B580=0,"EMPTY",Setup!$D$11*((PI()*2*Setup!$B$22*A580*B580)/33000))</f>
        <v>EMPTY</v>
      </c>
      <c r="D580" s="30" t="str">
        <f>IF(Setup!$H$2=0,"EMPTY",IF(B580=0,"EMPTY",B580*Setup!$B$22*Setup!$G$6*Setup!$D$11))</f>
        <v>EMPTY</v>
      </c>
      <c r="E580" s="31">
        <f>IF(Setup!$H$2=0,-1,IF(A580=0,-1,A580*1/(Setup!$G$6)))</f>
        <v>-1</v>
      </c>
      <c r="F580" s="31"/>
    </row>
    <row r="581" spans="1:6" ht="15.75" x14ac:dyDescent="0.25">
      <c r="A581"/>
      <c r="B581"/>
      <c r="C581" s="29" t="str">
        <f>IF(B581=0,"EMPTY",Setup!$D$11*((PI()*2*Setup!$B$22*A581*B581)/33000))</f>
        <v>EMPTY</v>
      </c>
      <c r="D581" s="30" t="str">
        <f>IF(Setup!$H$2=0,"EMPTY",IF(B581=0,"EMPTY",B581*Setup!$B$22*Setup!$G$6*Setup!$D$11))</f>
        <v>EMPTY</v>
      </c>
      <c r="E581" s="31">
        <f>IF(Setup!$H$2=0,-1,IF(A581=0,-1,A581*1/(Setup!$G$6)))</f>
        <v>-1</v>
      </c>
      <c r="F581" s="31"/>
    </row>
    <row r="582" spans="1:6" ht="15.75" x14ac:dyDescent="0.25">
      <c r="A582"/>
      <c r="B582"/>
      <c r="C582" s="29" t="str">
        <f>IF(B582=0,"EMPTY",Setup!$D$11*((PI()*2*Setup!$B$22*A582*B582)/33000))</f>
        <v>EMPTY</v>
      </c>
      <c r="D582" s="30" t="str">
        <f>IF(Setup!$H$2=0,"EMPTY",IF(B582=0,"EMPTY",B582*Setup!$B$22*Setup!$G$6*Setup!$D$11))</f>
        <v>EMPTY</v>
      </c>
      <c r="E582" s="31">
        <f>IF(Setup!$H$2=0,-1,IF(A582=0,-1,A582*1/(Setup!$G$6)))</f>
        <v>-1</v>
      </c>
      <c r="F582" s="31"/>
    </row>
    <row r="583" spans="1:6" ht="15.75" x14ac:dyDescent="0.25">
      <c r="A583"/>
      <c r="B583"/>
      <c r="C583" s="29" t="str">
        <f>IF(B583=0,"EMPTY",Setup!$D$11*((PI()*2*Setup!$B$22*A583*B583)/33000))</f>
        <v>EMPTY</v>
      </c>
      <c r="D583" s="30" t="str">
        <f>IF(Setup!$H$2=0,"EMPTY",IF(B583=0,"EMPTY",B583*Setup!$B$22*Setup!$G$6*Setup!$D$11))</f>
        <v>EMPTY</v>
      </c>
      <c r="E583" s="31">
        <f>IF(Setup!$H$2=0,-1,IF(A583=0,-1,A583*1/(Setup!$G$6)))</f>
        <v>-1</v>
      </c>
      <c r="F583" s="31"/>
    </row>
    <row r="584" spans="1:6" ht="15.75" x14ac:dyDescent="0.25">
      <c r="A584"/>
      <c r="B584"/>
      <c r="C584" s="29" t="str">
        <f>IF(B584=0,"EMPTY",Setup!$D$11*((PI()*2*Setup!$B$22*A584*B584)/33000))</f>
        <v>EMPTY</v>
      </c>
      <c r="D584" s="30" t="str">
        <f>IF(Setup!$H$2=0,"EMPTY",IF(B584=0,"EMPTY",B584*Setup!$B$22*Setup!$G$6*Setup!$D$11))</f>
        <v>EMPTY</v>
      </c>
      <c r="E584" s="31">
        <f>IF(Setup!$H$2=0,-1,IF(A584=0,-1,A584*1/(Setup!$G$6)))</f>
        <v>-1</v>
      </c>
      <c r="F584" s="31"/>
    </row>
    <row r="585" spans="1:6" ht="15.75" x14ac:dyDescent="0.25">
      <c r="A585"/>
      <c r="B585"/>
      <c r="C585" s="29" t="str">
        <f>IF(B585=0,"EMPTY",Setup!$D$11*((PI()*2*Setup!$B$22*A585*B585)/33000))</f>
        <v>EMPTY</v>
      </c>
      <c r="D585" s="30" t="str">
        <f>IF(Setup!$H$2=0,"EMPTY",IF(B585=0,"EMPTY",B585*Setup!$B$22*Setup!$G$6*Setup!$D$11))</f>
        <v>EMPTY</v>
      </c>
      <c r="E585" s="31">
        <f>IF(Setup!$H$2=0,-1,IF(A585=0,-1,A585*1/(Setup!$G$6)))</f>
        <v>-1</v>
      </c>
      <c r="F585" s="31"/>
    </row>
    <row r="586" spans="1:6" ht="15.75" x14ac:dyDescent="0.25">
      <c r="A586"/>
      <c r="B586"/>
      <c r="C586" s="29" t="str">
        <f>IF(B586=0,"EMPTY",Setup!$D$11*((PI()*2*Setup!$B$22*A586*B586)/33000))</f>
        <v>EMPTY</v>
      </c>
      <c r="D586" s="30" t="str">
        <f>IF(Setup!$H$2=0,"EMPTY",IF(B586=0,"EMPTY",B586*Setup!$B$22*Setup!$G$6*Setup!$D$11))</f>
        <v>EMPTY</v>
      </c>
      <c r="E586" s="31">
        <f>IF(Setup!$H$2=0,-1,IF(A586=0,-1,A586*1/(Setup!$G$6)))</f>
        <v>-1</v>
      </c>
      <c r="F586" s="31"/>
    </row>
    <row r="587" spans="1:6" ht="15.75" x14ac:dyDescent="0.25">
      <c r="A587"/>
      <c r="B587"/>
      <c r="C587" s="29" t="str">
        <f>IF(B587=0,"EMPTY",Setup!$D$11*((PI()*2*Setup!$B$22*A587*B587)/33000))</f>
        <v>EMPTY</v>
      </c>
      <c r="D587" s="30" t="str">
        <f>IF(Setup!$H$2=0,"EMPTY",IF(B587=0,"EMPTY",B587*Setup!$B$22*Setup!$G$6*Setup!$D$11))</f>
        <v>EMPTY</v>
      </c>
      <c r="E587" s="31">
        <f>IF(Setup!$H$2=0,-1,IF(A587=0,-1,A587*1/(Setup!$G$6)))</f>
        <v>-1</v>
      </c>
      <c r="F587" s="31"/>
    </row>
    <row r="588" spans="1:6" ht="15.75" x14ac:dyDescent="0.25">
      <c r="A588"/>
      <c r="B588"/>
      <c r="C588" s="29" t="str">
        <f>IF(B588=0,"EMPTY",Setup!$D$11*((PI()*2*Setup!$B$22*A588*B588)/33000))</f>
        <v>EMPTY</v>
      </c>
      <c r="D588" s="30" t="str">
        <f>IF(Setup!$H$2=0,"EMPTY",IF(B588=0,"EMPTY",B588*Setup!$B$22*Setup!$G$6*Setup!$D$11))</f>
        <v>EMPTY</v>
      </c>
      <c r="E588" s="31">
        <f>IF(Setup!$H$2=0,-1,IF(A588=0,-1,A588*1/(Setup!$G$6)))</f>
        <v>-1</v>
      </c>
      <c r="F588" s="31"/>
    </row>
    <row r="589" spans="1:6" ht="15.75" x14ac:dyDescent="0.25">
      <c r="A589"/>
      <c r="B589"/>
      <c r="C589" s="29" t="str">
        <f>IF(B589=0,"EMPTY",Setup!$D$11*((PI()*2*Setup!$B$22*A589*B589)/33000))</f>
        <v>EMPTY</v>
      </c>
      <c r="D589" s="30" t="str">
        <f>IF(Setup!$H$2=0,"EMPTY",IF(B589=0,"EMPTY",B589*Setup!$B$22*Setup!$G$6*Setup!$D$11))</f>
        <v>EMPTY</v>
      </c>
      <c r="E589" s="31">
        <f>IF(Setup!$H$2=0,-1,IF(A589=0,-1,A589*1/(Setup!$G$6)))</f>
        <v>-1</v>
      </c>
      <c r="F589" s="31"/>
    </row>
    <row r="590" spans="1:6" ht="15.75" x14ac:dyDescent="0.25">
      <c r="A590"/>
      <c r="B590"/>
      <c r="C590" s="29" t="str">
        <f>IF(B590=0,"EMPTY",Setup!$D$11*((PI()*2*Setup!$B$22*A590*B590)/33000))</f>
        <v>EMPTY</v>
      </c>
      <c r="D590" s="30" t="str">
        <f>IF(Setup!$H$2=0,"EMPTY",IF(B590=0,"EMPTY",B590*Setup!$B$22*Setup!$G$6*Setup!$D$11))</f>
        <v>EMPTY</v>
      </c>
      <c r="E590" s="31">
        <f>IF(Setup!$H$2=0,-1,IF(A590=0,-1,A590*1/(Setup!$G$6)))</f>
        <v>-1</v>
      </c>
      <c r="F590" s="31"/>
    </row>
    <row r="591" spans="1:6" ht="15.75" x14ac:dyDescent="0.25">
      <c r="A591"/>
      <c r="B591"/>
      <c r="C591" s="29" t="str">
        <f>IF(B591=0,"EMPTY",Setup!$D$11*((PI()*2*Setup!$B$22*A591*B591)/33000))</f>
        <v>EMPTY</v>
      </c>
      <c r="D591" s="30" t="str">
        <f>IF(Setup!$H$2=0,"EMPTY",IF(B591=0,"EMPTY",B591*Setup!$B$22*Setup!$G$6*Setup!$D$11))</f>
        <v>EMPTY</v>
      </c>
      <c r="E591" s="31">
        <f>IF(Setup!$H$2=0,-1,IF(A591=0,-1,A591*1/(Setup!$G$6)))</f>
        <v>-1</v>
      </c>
      <c r="F591" s="31"/>
    </row>
    <row r="592" spans="1:6" ht="15.75" x14ac:dyDescent="0.25">
      <c r="A592"/>
      <c r="B592"/>
      <c r="C592" s="29" t="str">
        <f>IF(B592=0,"EMPTY",Setup!$D$11*((PI()*2*Setup!$B$22*A592*B592)/33000))</f>
        <v>EMPTY</v>
      </c>
      <c r="D592" s="30" t="str">
        <f>IF(Setup!$H$2=0,"EMPTY",IF(B592=0,"EMPTY",B592*Setup!$B$22*Setup!$G$6*Setup!$D$11))</f>
        <v>EMPTY</v>
      </c>
      <c r="E592" s="31">
        <f>IF(Setup!$H$2=0,-1,IF(A592=0,-1,A592*1/(Setup!$G$6)))</f>
        <v>-1</v>
      </c>
      <c r="F592" s="31"/>
    </row>
    <row r="593" spans="1:6" ht="15.75" x14ac:dyDescent="0.25">
      <c r="A593"/>
      <c r="B593"/>
      <c r="C593" s="29" t="str">
        <f>IF(B593=0,"EMPTY",Setup!$D$11*((PI()*2*Setup!$B$22*A593*B593)/33000))</f>
        <v>EMPTY</v>
      </c>
      <c r="D593" s="30" t="str">
        <f>IF(Setup!$H$2=0,"EMPTY",IF(B593=0,"EMPTY",B593*Setup!$B$22*Setup!$G$6*Setup!$D$11))</f>
        <v>EMPTY</v>
      </c>
      <c r="E593" s="31">
        <f>IF(Setup!$H$2=0,-1,IF(A593=0,-1,A593*1/(Setup!$G$6)))</f>
        <v>-1</v>
      </c>
      <c r="F593" s="31"/>
    </row>
    <row r="594" spans="1:6" ht="15.75" x14ac:dyDescent="0.25">
      <c r="A594"/>
      <c r="B594"/>
      <c r="C594" s="29" t="str">
        <f>IF(B594=0,"EMPTY",Setup!$D$11*((PI()*2*Setup!$B$22*A594*B594)/33000))</f>
        <v>EMPTY</v>
      </c>
      <c r="D594" s="30" t="str">
        <f>IF(Setup!$H$2=0,"EMPTY",IF(B594=0,"EMPTY",B594*Setup!$B$22*Setup!$G$6*Setup!$D$11))</f>
        <v>EMPTY</v>
      </c>
      <c r="E594" s="31">
        <f>IF(Setup!$H$2=0,-1,IF(A594=0,-1,A594*1/(Setup!$G$6)))</f>
        <v>-1</v>
      </c>
      <c r="F594" s="31"/>
    </row>
    <row r="595" spans="1:6" ht="15.75" x14ac:dyDescent="0.25">
      <c r="A595"/>
      <c r="B595"/>
      <c r="C595" s="29" t="str">
        <f>IF(B595=0,"EMPTY",Setup!$D$11*((PI()*2*Setup!$B$22*A595*B595)/33000))</f>
        <v>EMPTY</v>
      </c>
      <c r="D595" s="30" t="str">
        <f>IF(Setup!$H$2=0,"EMPTY",IF(B595=0,"EMPTY",B595*Setup!$B$22*Setup!$G$6*Setup!$D$11))</f>
        <v>EMPTY</v>
      </c>
      <c r="E595" s="31">
        <f>IF(Setup!$H$2=0,-1,IF(A595=0,-1,A595*1/(Setup!$G$6)))</f>
        <v>-1</v>
      </c>
      <c r="F595" s="31"/>
    </row>
    <row r="596" spans="1:6" ht="15.75" x14ac:dyDescent="0.25">
      <c r="A596"/>
      <c r="B596"/>
      <c r="C596" s="29" t="str">
        <f>IF(B596=0,"EMPTY",Setup!$D$11*((PI()*2*Setup!$B$22*A596*B596)/33000))</f>
        <v>EMPTY</v>
      </c>
      <c r="D596" s="30" t="str">
        <f>IF(Setup!$H$2=0,"EMPTY",IF(B596=0,"EMPTY",B596*Setup!$B$22*Setup!$G$6*Setup!$D$11))</f>
        <v>EMPTY</v>
      </c>
      <c r="E596" s="31">
        <f>IF(Setup!$H$2=0,-1,IF(A596=0,-1,A596*1/(Setup!$G$6)))</f>
        <v>-1</v>
      </c>
      <c r="F596" s="31"/>
    </row>
    <row r="597" spans="1:6" ht="15.75" x14ac:dyDescent="0.25">
      <c r="A597"/>
      <c r="B597"/>
      <c r="C597" s="29" t="str">
        <f>IF(B597=0,"EMPTY",Setup!$D$11*((PI()*2*Setup!$B$22*A597*B597)/33000))</f>
        <v>EMPTY</v>
      </c>
      <c r="D597" s="30" t="str">
        <f>IF(Setup!$H$2=0,"EMPTY",IF(B597=0,"EMPTY",B597*Setup!$B$22*Setup!$G$6*Setup!$D$11))</f>
        <v>EMPTY</v>
      </c>
      <c r="E597" s="31">
        <f>IF(Setup!$H$2=0,-1,IF(A597=0,-1,A597*1/(Setup!$G$6)))</f>
        <v>-1</v>
      </c>
      <c r="F597" s="31"/>
    </row>
    <row r="598" spans="1:6" ht="15.75" x14ac:dyDescent="0.25">
      <c r="A598"/>
      <c r="B598"/>
      <c r="C598" s="29" t="str">
        <f>IF(B598=0,"EMPTY",Setup!$D$11*((PI()*2*Setup!$B$22*A598*B598)/33000))</f>
        <v>EMPTY</v>
      </c>
      <c r="D598" s="30" t="str">
        <f>IF(Setup!$H$2=0,"EMPTY",IF(B598=0,"EMPTY",B598*Setup!$B$22*Setup!$G$6*Setup!$D$11))</f>
        <v>EMPTY</v>
      </c>
      <c r="E598" s="31">
        <f>IF(Setup!$H$2=0,-1,IF(A598=0,-1,A598*1/(Setup!$G$6)))</f>
        <v>-1</v>
      </c>
      <c r="F598" s="31"/>
    </row>
    <row r="599" spans="1:6" ht="15.75" x14ac:dyDescent="0.25">
      <c r="A599"/>
      <c r="B599"/>
      <c r="C599" s="29" t="str">
        <f>IF(B599=0,"EMPTY",Setup!$D$11*((PI()*2*Setup!$B$22*A599*B599)/33000))</f>
        <v>EMPTY</v>
      </c>
      <c r="D599" s="30" t="str">
        <f>IF(Setup!$H$2=0,"EMPTY",IF(B599=0,"EMPTY",B599*Setup!$B$22*Setup!$G$6*Setup!$D$11))</f>
        <v>EMPTY</v>
      </c>
      <c r="E599" s="31">
        <f>IF(Setup!$H$2=0,-1,IF(A599=0,-1,A599*1/(Setup!$G$6)))</f>
        <v>-1</v>
      </c>
      <c r="F599" s="31"/>
    </row>
    <row r="600" spans="1:6" ht="15.75" x14ac:dyDescent="0.25">
      <c r="A600"/>
      <c r="B600"/>
      <c r="C600" s="29" t="str">
        <f>IF(B600=0,"EMPTY",Setup!$D$11*((PI()*2*Setup!$B$22*A600*B600)/33000))</f>
        <v>EMPTY</v>
      </c>
      <c r="D600" s="30" t="str">
        <f>IF(Setup!$H$2=0,"EMPTY",IF(B600=0,"EMPTY",B600*Setup!$B$22*Setup!$G$6*Setup!$D$11))</f>
        <v>EMPTY</v>
      </c>
      <c r="E600" s="31">
        <f>IF(Setup!$H$2=0,-1,IF(A600=0,-1,A600*1/(Setup!$G$6)))</f>
        <v>-1</v>
      </c>
      <c r="F600" s="31"/>
    </row>
    <row r="601" spans="1:6" ht="15.75" x14ac:dyDescent="0.25">
      <c r="A601"/>
      <c r="B601"/>
      <c r="C601" s="29" t="str">
        <f>IF(B601=0,"EMPTY",Setup!$D$11*((PI()*2*Setup!$B$22*A601*B601)/33000))</f>
        <v>EMPTY</v>
      </c>
      <c r="D601" s="30" t="str">
        <f>IF(Setup!$H$2=0,"EMPTY",IF(B601=0,"EMPTY",B601*Setup!$B$22*Setup!$G$6*Setup!$D$11))</f>
        <v>EMPTY</v>
      </c>
      <c r="E601" s="31">
        <f>IF(Setup!$H$2=0,-1,IF(A601=0,-1,A601*1/(Setup!$G$6)))</f>
        <v>-1</v>
      </c>
      <c r="F601" s="31"/>
    </row>
    <row r="602" spans="1:6" ht="15.75" x14ac:dyDescent="0.25">
      <c r="A602"/>
      <c r="B602"/>
      <c r="C602" s="29" t="str">
        <f>IF(B602=0,"EMPTY",Setup!$D$11*((PI()*2*Setup!$B$22*A602*B602)/33000))</f>
        <v>EMPTY</v>
      </c>
      <c r="D602" s="30" t="str">
        <f>IF(Setup!$H$2=0,"EMPTY",IF(B602=0,"EMPTY",B602*Setup!$B$22*Setup!$G$6*Setup!$D$11))</f>
        <v>EMPTY</v>
      </c>
      <c r="E602" s="31">
        <f>IF(Setup!$H$2=0,-1,IF(A602=0,-1,A602*1/(Setup!$G$6)))</f>
        <v>-1</v>
      </c>
      <c r="F602" s="31"/>
    </row>
    <row r="603" spans="1:6" ht="15.75" x14ac:dyDescent="0.25">
      <c r="A603"/>
      <c r="B603"/>
      <c r="C603" s="29" t="str">
        <f>IF(B603=0,"EMPTY",Setup!$D$11*((PI()*2*Setup!$B$22*A603*B603)/33000))</f>
        <v>EMPTY</v>
      </c>
      <c r="D603" s="30" t="str">
        <f>IF(Setup!$H$2=0,"EMPTY",IF(B603=0,"EMPTY",B603*Setup!$B$22*Setup!$G$6*Setup!$D$11))</f>
        <v>EMPTY</v>
      </c>
      <c r="E603" s="31">
        <f>IF(Setup!$H$2=0,-1,IF(A603=0,-1,A603*1/(Setup!$G$6)))</f>
        <v>-1</v>
      </c>
      <c r="F603" s="31"/>
    </row>
    <row r="604" spans="1:6" ht="15.75" x14ac:dyDescent="0.25">
      <c r="A604"/>
      <c r="B604"/>
      <c r="C604" s="29" t="str">
        <f>IF(B604=0,"EMPTY",Setup!$D$11*((PI()*2*Setup!$B$22*A604*B604)/33000))</f>
        <v>EMPTY</v>
      </c>
      <c r="D604" s="30" t="str">
        <f>IF(Setup!$H$2=0,"EMPTY",IF(B604=0,"EMPTY",B604*Setup!$B$22*Setup!$G$6*Setup!$D$11))</f>
        <v>EMPTY</v>
      </c>
      <c r="E604" s="31">
        <f>IF(Setup!$H$2=0,-1,IF(A604=0,-1,A604*1/(Setup!$G$6)))</f>
        <v>-1</v>
      </c>
      <c r="F604" s="31"/>
    </row>
    <row r="605" spans="1:6" ht="15.75" x14ac:dyDescent="0.25">
      <c r="A605"/>
      <c r="B605"/>
      <c r="C605" s="29" t="str">
        <f>IF(B605=0,"EMPTY",Setup!$D$11*((PI()*2*Setup!$B$22*A605*B605)/33000))</f>
        <v>EMPTY</v>
      </c>
      <c r="D605" s="30" t="str">
        <f>IF(Setup!$H$2=0,"EMPTY",IF(B605=0,"EMPTY",B605*Setup!$B$22*Setup!$G$6*Setup!$D$11))</f>
        <v>EMPTY</v>
      </c>
      <c r="E605" s="31">
        <f>IF(Setup!$H$2=0,-1,IF(A605=0,-1,A605*1/(Setup!$G$6)))</f>
        <v>-1</v>
      </c>
      <c r="F605" s="31"/>
    </row>
    <row r="606" spans="1:6" ht="15.75" x14ac:dyDescent="0.25">
      <c r="A606"/>
      <c r="B606"/>
      <c r="C606" s="29" t="str">
        <f>IF(B606=0,"EMPTY",Setup!$D$11*((PI()*2*Setup!$B$22*A606*B606)/33000))</f>
        <v>EMPTY</v>
      </c>
      <c r="D606" s="30" t="str">
        <f>IF(Setup!$H$2=0,"EMPTY",IF(B606=0,"EMPTY",B606*Setup!$B$22*Setup!$G$6*Setup!$D$11))</f>
        <v>EMPTY</v>
      </c>
      <c r="E606" s="31">
        <f>IF(Setup!$H$2=0,-1,IF(A606=0,-1,A606*1/(Setup!$G$6)))</f>
        <v>-1</v>
      </c>
      <c r="F606" s="31"/>
    </row>
    <row r="607" spans="1:6" ht="15.75" x14ac:dyDescent="0.25">
      <c r="A607"/>
      <c r="B607"/>
      <c r="C607" s="29" t="str">
        <f>IF(B607=0,"EMPTY",Setup!$D$11*((PI()*2*Setup!$B$22*A607*B607)/33000))</f>
        <v>EMPTY</v>
      </c>
      <c r="D607" s="30" t="str">
        <f>IF(Setup!$H$2=0,"EMPTY",IF(B607=0,"EMPTY",B607*Setup!$B$22*Setup!$G$6*Setup!$D$11))</f>
        <v>EMPTY</v>
      </c>
      <c r="E607" s="31">
        <f>IF(Setup!$H$2=0,-1,IF(A607=0,-1,A607*1/(Setup!$G$6)))</f>
        <v>-1</v>
      </c>
      <c r="F607" s="31"/>
    </row>
    <row r="608" spans="1:6" ht="15.75" x14ac:dyDescent="0.25">
      <c r="A608"/>
      <c r="B608"/>
      <c r="C608" s="29" t="str">
        <f>IF(B608=0,"EMPTY",Setup!$D$11*((PI()*2*Setup!$B$22*A608*B608)/33000))</f>
        <v>EMPTY</v>
      </c>
      <c r="D608" s="30" t="str">
        <f>IF(Setup!$H$2=0,"EMPTY",IF(B608=0,"EMPTY",B608*Setup!$B$22*Setup!$G$6*Setup!$D$11))</f>
        <v>EMPTY</v>
      </c>
      <c r="E608" s="31">
        <f>IF(Setup!$H$2=0,-1,IF(A608=0,-1,A608*1/(Setup!$G$6)))</f>
        <v>-1</v>
      </c>
      <c r="F608" s="31"/>
    </row>
    <row r="609" spans="1:6" ht="15.75" x14ac:dyDescent="0.25">
      <c r="A609"/>
      <c r="B609"/>
      <c r="C609" s="29" t="str">
        <f>IF(B609=0,"EMPTY",Setup!$D$11*((PI()*2*Setup!$B$22*A609*B609)/33000))</f>
        <v>EMPTY</v>
      </c>
      <c r="D609" s="30" t="str">
        <f>IF(Setup!$H$2=0,"EMPTY",IF(B609=0,"EMPTY",B609*Setup!$B$22*Setup!$G$6*Setup!$D$11))</f>
        <v>EMPTY</v>
      </c>
      <c r="E609" s="31">
        <f>IF(Setup!$H$2=0,-1,IF(A609=0,-1,A609*1/(Setup!$G$6)))</f>
        <v>-1</v>
      </c>
      <c r="F609" s="31"/>
    </row>
    <row r="610" spans="1:6" ht="15.75" x14ac:dyDescent="0.25">
      <c r="A610"/>
      <c r="B610"/>
      <c r="C610" s="29" t="str">
        <f>IF(B610=0,"EMPTY",Setup!$D$11*((PI()*2*Setup!$B$22*A610*B610)/33000))</f>
        <v>EMPTY</v>
      </c>
      <c r="D610" s="30" t="str">
        <f>IF(Setup!$H$2=0,"EMPTY",IF(B610=0,"EMPTY",B610*Setup!$B$22*Setup!$G$6*Setup!$D$11))</f>
        <v>EMPTY</v>
      </c>
      <c r="E610" s="31">
        <f>IF(Setup!$H$2=0,-1,IF(A610=0,-1,A610*1/(Setup!$G$6)))</f>
        <v>-1</v>
      </c>
      <c r="F610" s="31"/>
    </row>
    <row r="611" spans="1:6" ht="15.75" x14ac:dyDescent="0.25">
      <c r="A611"/>
      <c r="B611"/>
      <c r="C611" s="29" t="str">
        <f>IF(B611=0,"EMPTY",Setup!$D$11*((PI()*2*Setup!$B$22*A611*B611)/33000))</f>
        <v>EMPTY</v>
      </c>
      <c r="D611" s="30" t="str">
        <f>IF(Setup!$H$2=0,"EMPTY",IF(B611=0,"EMPTY",B611*Setup!$B$22*Setup!$G$6*Setup!$D$11))</f>
        <v>EMPTY</v>
      </c>
      <c r="E611" s="31">
        <f>IF(Setup!$H$2=0,-1,IF(A611=0,-1,A611*1/(Setup!$G$6)))</f>
        <v>-1</v>
      </c>
      <c r="F611" s="31"/>
    </row>
    <row r="612" spans="1:6" ht="15.75" x14ac:dyDescent="0.25">
      <c r="A612"/>
      <c r="B612"/>
      <c r="C612" s="29" t="str">
        <f>IF(B612=0,"EMPTY",Setup!$D$11*((PI()*2*Setup!$B$22*A612*B612)/33000))</f>
        <v>EMPTY</v>
      </c>
      <c r="D612" s="30" t="str">
        <f>IF(Setup!$H$2=0,"EMPTY",IF(B612=0,"EMPTY",B612*Setup!$B$22*Setup!$G$6*Setup!$D$11))</f>
        <v>EMPTY</v>
      </c>
      <c r="E612" s="31">
        <f>IF(Setup!$H$2=0,-1,IF(A612=0,-1,A612*1/(Setup!$G$6)))</f>
        <v>-1</v>
      </c>
      <c r="F612" s="31"/>
    </row>
    <row r="613" spans="1:6" ht="15.75" x14ac:dyDescent="0.25">
      <c r="A613"/>
      <c r="B613"/>
      <c r="C613" s="29" t="str">
        <f>IF(B613=0,"EMPTY",Setup!$D$11*((PI()*2*Setup!$B$22*A613*B613)/33000))</f>
        <v>EMPTY</v>
      </c>
      <c r="D613" s="30" t="str">
        <f>IF(Setup!$H$2=0,"EMPTY",IF(B613=0,"EMPTY",B613*Setup!$B$22*Setup!$G$6*Setup!$D$11))</f>
        <v>EMPTY</v>
      </c>
      <c r="E613" s="31">
        <f>IF(Setup!$H$2=0,-1,IF(A613=0,-1,A613*1/(Setup!$G$6)))</f>
        <v>-1</v>
      </c>
      <c r="F613" s="31"/>
    </row>
    <row r="614" spans="1:6" ht="15.75" x14ac:dyDescent="0.25">
      <c r="A614"/>
      <c r="B614"/>
      <c r="C614" s="29" t="str">
        <f>IF(B614=0,"EMPTY",Setup!$D$11*((PI()*2*Setup!$B$22*A614*B614)/33000))</f>
        <v>EMPTY</v>
      </c>
      <c r="D614" s="30" t="str">
        <f>IF(Setup!$H$2=0,"EMPTY",IF(B614=0,"EMPTY",B614*Setup!$B$22*Setup!$G$6*Setup!$D$11))</f>
        <v>EMPTY</v>
      </c>
      <c r="E614" s="31">
        <f>IF(Setup!$H$2=0,-1,IF(A614=0,-1,A614*1/(Setup!$G$6)))</f>
        <v>-1</v>
      </c>
      <c r="F614" s="31"/>
    </row>
    <row r="615" spans="1:6" ht="15.75" x14ac:dyDescent="0.25">
      <c r="A615"/>
      <c r="B615"/>
      <c r="C615" s="29" t="str">
        <f>IF(B615=0,"EMPTY",Setup!$D$11*((PI()*2*Setup!$B$22*A615*B615)/33000))</f>
        <v>EMPTY</v>
      </c>
      <c r="D615" s="30" t="str">
        <f>IF(Setup!$H$2=0,"EMPTY",IF(B615=0,"EMPTY",B615*Setup!$B$22*Setup!$G$6*Setup!$D$11))</f>
        <v>EMPTY</v>
      </c>
      <c r="E615" s="31">
        <f>IF(Setup!$H$2=0,-1,IF(A615=0,-1,A615*1/(Setup!$G$6)))</f>
        <v>-1</v>
      </c>
      <c r="F615" s="31"/>
    </row>
    <row r="616" spans="1:6" ht="15.75" x14ac:dyDescent="0.25">
      <c r="A616"/>
      <c r="B616"/>
      <c r="C616" s="29" t="str">
        <f>IF(B616=0,"EMPTY",Setup!$D$11*((PI()*2*Setup!$B$22*A616*B616)/33000))</f>
        <v>EMPTY</v>
      </c>
      <c r="D616" s="30" t="str">
        <f>IF(Setup!$H$2=0,"EMPTY",IF(B616=0,"EMPTY",B616*Setup!$B$22*Setup!$G$6*Setup!$D$11))</f>
        <v>EMPTY</v>
      </c>
      <c r="E616" s="31">
        <f>IF(Setup!$H$2=0,-1,IF(A616=0,-1,A616*1/(Setup!$G$6)))</f>
        <v>-1</v>
      </c>
      <c r="F616" s="31"/>
    </row>
    <row r="617" spans="1:6" ht="15.75" x14ac:dyDescent="0.25">
      <c r="A617"/>
      <c r="B617"/>
      <c r="C617" s="29" t="str">
        <f>IF(B617=0,"EMPTY",Setup!$D$11*((PI()*2*Setup!$B$22*A617*B617)/33000))</f>
        <v>EMPTY</v>
      </c>
      <c r="D617" s="30" t="str">
        <f>IF(Setup!$H$2=0,"EMPTY",IF(B617=0,"EMPTY",B617*Setup!$B$22*Setup!$G$6*Setup!$D$11))</f>
        <v>EMPTY</v>
      </c>
      <c r="E617" s="31">
        <f>IF(Setup!$H$2=0,-1,IF(A617=0,-1,A617*1/(Setup!$G$6)))</f>
        <v>-1</v>
      </c>
      <c r="F617" s="31"/>
    </row>
    <row r="618" spans="1:6" ht="15.75" x14ac:dyDescent="0.25">
      <c r="A618"/>
      <c r="B618"/>
      <c r="C618" s="29" t="str">
        <f>IF(B618=0,"EMPTY",Setup!$D$11*((PI()*2*Setup!$B$22*A618*B618)/33000))</f>
        <v>EMPTY</v>
      </c>
      <c r="D618" s="30" t="str">
        <f>IF(Setup!$H$2=0,"EMPTY",IF(B618=0,"EMPTY",B618*Setup!$B$22*Setup!$G$6*Setup!$D$11))</f>
        <v>EMPTY</v>
      </c>
      <c r="E618" s="31">
        <f>IF(Setup!$H$2=0,-1,IF(A618=0,-1,A618*1/(Setup!$G$6)))</f>
        <v>-1</v>
      </c>
      <c r="F618" s="31"/>
    </row>
    <row r="619" spans="1:6" ht="15.75" x14ac:dyDescent="0.25">
      <c r="A619"/>
      <c r="B619"/>
      <c r="C619" s="29" t="str">
        <f>IF(B619=0,"EMPTY",Setup!$D$11*((PI()*2*Setup!$B$22*A619*B619)/33000))</f>
        <v>EMPTY</v>
      </c>
      <c r="D619" s="30" t="str">
        <f>IF(Setup!$H$2=0,"EMPTY",IF(B619=0,"EMPTY",B619*Setup!$B$22*Setup!$G$6*Setup!$D$11))</f>
        <v>EMPTY</v>
      </c>
      <c r="E619" s="31">
        <f>IF(Setup!$H$2=0,-1,IF(A619=0,-1,A619*1/(Setup!$G$6)))</f>
        <v>-1</v>
      </c>
      <c r="F619" s="31"/>
    </row>
    <row r="620" spans="1:6" ht="15.75" x14ac:dyDescent="0.25">
      <c r="A620"/>
      <c r="B620"/>
      <c r="C620" s="29" t="str">
        <f>IF(B620=0,"EMPTY",Setup!$D$11*((PI()*2*Setup!$B$22*A620*B620)/33000))</f>
        <v>EMPTY</v>
      </c>
      <c r="D620" s="30" t="str">
        <f>IF(Setup!$H$2=0,"EMPTY",IF(B620=0,"EMPTY",B620*Setup!$B$22*Setup!$G$6*Setup!$D$11))</f>
        <v>EMPTY</v>
      </c>
      <c r="E620" s="31">
        <f>IF(Setup!$H$2=0,-1,IF(A620=0,-1,A620*1/(Setup!$G$6)))</f>
        <v>-1</v>
      </c>
      <c r="F620" s="31"/>
    </row>
    <row r="621" spans="1:6" ht="15.75" x14ac:dyDescent="0.25">
      <c r="A621"/>
      <c r="B621"/>
      <c r="C621" s="29" t="str">
        <f>IF(B621=0,"EMPTY",Setup!$D$11*((PI()*2*Setup!$B$22*A621*B621)/33000))</f>
        <v>EMPTY</v>
      </c>
      <c r="D621" s="30" t="str">
        <f>IF(Setup!$H$2=0,"EMPTY",IF(B621=0,"EMPTY",B621*Setup!$B$22*Setup!$G$6*Setup!$D$11))</f>
        <v>EMPTY</v>
      </c>
      <c r="E621" s="31">
        <f>IF(Setup!$H$2=0,-1,IF(A621=0,-1,A621*1/(Setup!$G$6)))</f>
        <v>-1</v>
      </c>
      <c r="F621" s="31"/>
    </row>
    <row r="622" spans="1:6" ht="15.75" x14ac:dyDescent="0.25">
      <c r="A622"/>
      <c r="B622"/>
      <c r="C622" s="29" t="str">
        <f>IF(B622=0,"EMPTY",Setup!$D$11*((PI()*2*Setup!$B$22*A622*B622)/33000))</f>
        <v>EMPTY</v>
      </c>
      <c r="D622" s="30" t="str">
        <f>IF(Setup!$H$2=0,"EMPTY",IF(B622=0,"EMPTY",B622*Setup!$B$22*Setup!$G$6*Setup!$D$11))</f>
        <v>EMPTY</v>
      </c>
      <c r="E622" s="31">
        <f>IF(Setup!$H$2=0,-1,IF(A622=0,-1,A622*1/(Setup!$G$6)))</f>
        <v>-1</v>
      </c>
      <c r="F622" s="31"/>
    </row>
    <row r="623" spans="1:6" ht="15.75" x14ac:dyDescent="0.25">
      <c r="A623"/>
      <c r="B623"/>
      <c r="C623" s="29" t="str">
        <f>IF(B623=0,"EMPTY",Setup!$D$11*((PI()*2*Setup!$B$22*A623*B623)/33000))</f>
        <v>EMPTY</v>
      </c>
      <c r="D623" s="30" t="str">
        <f>IF(Setup!$H$2=0,"EMPTY",IF(B623=0,"EMPTY",B623*Setup!$B$22*Setup!$G$6*Setup!$D$11))</f>
        <v>EMPTY</v>
      </c>
      <c r="E623" s="31">
        <f>IF(Setup!$H$2=0,-1,IF(A623=0,-1,A623*1/(Setup!$G$6)))</f>
        <v>-1</v>
      </c>
      <c r="F623" s="31"/>
    </row>
    <row r="624" spans="1:6" ht="15.75" x14ac:dyDescent="0.25">
      <c r="A624"/>
      <c r="B624"/>
      <c r="C624" s="29" t="str">
        <f>IF(B624=0,"EMPTY",Setup!$D$11*((PI()*2*Setup!$B$22*A624*B624)/33000))</f>
        <v>EMPTY</v>
      </c>
      <c r="D624" s="30" t="str">
        <f>IF(Setup!$H$2=0,"EMPTY",IF(B624=0,"EMPTY",B624*Setup!$B$22*Setup!$G$6*Setup!$D$11))</f>
        <v>EMPTY</v>
      </c>
      <c r="E624" s="31">
        <f>IF(Setup!$H$2=0,-1,IF(A624=0,-1,A624*1/(Setup!$G$6)))</f>
        <v>-1</v>
      </c>
      <c r="F624" s="31"/>
    </row>
    <row r="625" spans="1:6" ht="15.75" x14ac:dyDescent="0.25">
      <c r="A625"/>
      <c r="B625"/>
      <c r="C625" s="29" t="str">
        <f>IF(B625=0,"EMPTY",Setup!$D$11*((PI()*2*Setup!$B$22*A625*B625)/33000))</f>
        <v>EMPTY</v>
      </c>
      <c r="D625" s="30" t="str">
        <f>IF(Setup!$H$2=0,"EMPTY",IF(B625=0,"EMPTY",B625*Setup!$B$22*Setup!$G$6*Setup!$D$11))</f>
        <v>EMPTY</v>
      </c>
      <c r="E625" s="31">
        <f>IF(Setup!$H$2=0,-1,IF(A625=0,-1,A625*1/(Setup!$G$6)))</f>
        <v>-1</v>
      </c>
      <c r="F625" s="31"/>
    </row>
    <row r="626" spans="1:6" ht="15.75" x14ac:dyDescent="0.25">
      <c r="A626"/>
      <c r="B626"/>
      <c r="C626" s="29" t="str">
        <f>IF(B626=0,"EMPTY",Setup!$D$11*((PI()*2*Setup!$B$22*A626*B626)/33000))</f>
        <v>EMPTY</v>
      </c>
      <c r="D626" s="30" t="str">
        <f>IF(Setup!$H$2=0,"EMPTY",IF(B626=0,"EMPTY",B626*Setup!$B$22*Setup!$G$6*Setup!$D$11))</f>
        <v>EMPTY</v>
      </c>
      <c r="E626" s="31">
        <f>IF(Setup!$H$2=0,-1,IF(A626=0,-1,A626*1/(Setup!$G$6)))</f>
        <v>-1</v>
      </c>
      <c r="F626" s="31"/>
    </row>
    <row r="627" spans="1:6" ht="15.75" x14ac:dyDescent="0.25">
      <c r="A627"/>
      <c r="B627"/>
      <c r="C627" s="29" t="str">
        <f>IF(B627=0,"EMPTY",Setup!$D$11*((PI()*2*Setup!$B$22*A627*B627)/33000))</f>
        <v>EMPTY</v>
      </c>
      <c r="D627" s="30" t="str">
        <f>IF(Setup!$H$2=0,"EMPTY",IF(B627=0,"EMPTY",B627*Setup!$B$22*Setup!$G$6*Setup!$D$11))</f>
        <v>EMPTY</v>
      </c>
      <c r="E627" s="31">
        <f>IF(Setup!$H$2=0,-1,IF(A627=0,-1,A627*1/(Setup!$G$6)))</f>
        <v>-1</v>
      </c>
      <c r="F627" s="31"/>
    </row>
    <row r="628" spans="1:6" ht="15.75" x14ac:dyDescent="0.25">
      <c r="A628"/>
      <c r="B628"/>
      <c r="C628" s="29" t="str">
        <f>IF(B628=0,"EMPTY",Setup!$D$11*((PI()*2*Setup!$B$22*A628*B628)/33000))</f>
        <v>EMPTY</v>
      </c>
      <c r="D628" s="30" t="str">
        <f>IF(Setup!$H$2=0,"EMPTY",IF(B628=0,"EMPTY",B628*Setup!$B$22*Setup!$G$6*Setup!$D$11))</f>
        <v>EMPTY</v>
      </c>
      <c r="E628" s="31">
        <f>IF(Setup!$H$2=0,-1,IF(A628=0,-1,A628*1/(Setup!$G$6)))</f>
        <v>-1</v>
      </c>
      <c r="F628" s="31"/>
    </row>
    <row r="629" spans="1:6" ht="15.75" x14ac:dyDescent="0.25">
      <c r="A629"/>
      <c r="B629"/>
      <c r="C629" s="29" t="str">
        <f>IF(B629=0,"EMPTY",Setup!$D$11*((PI()*2*Setup!$B$22*A629*B629)/33000))</f>
        <v>EMPTY</v>
      </c>
      <c r="D629" s="30" t="str">
        <f>IF(Setup!$H$2=0,"EMPTY",IF(B629=0,"EMPTY",B629*Setup!$B$22*Setup!$G$6*Setup!$D$11))</f>
        <v>EMPTY</v>
      </c>
      <c r="E629" s="31">
        <f>IF(Setup!$H$2=0,-1,IF(A629=0,-1,A629*1/(Setup!$G$6)))</f>
        <v>-1</v>
      </c>
      <c r="F629" s="31"/>
    </row>
    <row r="630" spans="1:6" ht="15.75" x14ac:dyDescent="0.25">
      <c r="A630"/>
      <c r="B630"/>
      <c r="C630" s="29" t="str">
        <f>IF(B630=0,"EMPTY",Setup!$D$11*((PI()*2*Setup!$B$22*A630*B630)/33000))</f>
        <v>EMPTY</v>
      </c>
      <c r="D630" s="30" t="str">
        <f>IF(Setup!$H$2=0,"EMPTY",IF(B630=0,"EMPTY",B630*Setup!$B$22*Setup!$G$6*Setup!$D$11))</f>
        <v>EMPTY</v>
      </c>
      <c r="E630" s="31">
        <f>IF(Setup!$H$2=0,-1,IF(A630=0,-1,A630*1/(Setup!$G$6)))</f>
        <v>-1</v>
      </c>
      <c r="F630" s="31"/>
    </row>
    <row r="631" spans="1:6" ht="15.75" x14ac:dyDescent="0.25">
      <c r="A631"/>
      <c r="B631"/>
      <c r="C631" s="29" t="str">
        <f>IF(B631=0,"EMPTY",Setup!$D$11*((PI()*2*Setup!$B$22*A631*B631)/33000))</f>
        <v>EMPTY</v>
      </c>
      <c r="D631" s="30" t="str">
        <f>IF(Setup!$H$2=0,"EMPTY",IF(B631=0,"EMPTY",B631*Setup!$B$22*Setup!$G$6*Setup!$D$11))</f>
        <v>EMPTY</v>
      </c>
      <c r="E631" s="31">
        <f>IF(Setup!$H$2=0,-1,IF(A631=0,-1,A631*1/(Setup!$G$6)))</f>
        <v>-1</v>
      </c>
      <c r="F631" s="31"/>
    </row>
    <row r="632" spans="1:6" ht="15.75" x14ac:dyDescent="0.25">
      <c r="A632"/>
      <c r="B632"/>
      <c r="C632" s="29" t="str">
        <f>IF(B632=0,"EMPTY",Setup!$D$11*((PI()*2*Setup!$B$22*A632*B632)/33000))</f>
        <v>EMPTY</v>
      </c>
      <c r="D632" s="30" t="str">
        <f>IF(Setup!$H$2=0,"EMPTY",IF(B632=0,"EMPTY",B632*Setup!$B$22*Setup!$G$6*Setup!$D$11))</f>
        <v>EMPTY</v>
      </c>
      <c r="E632" s="31">
        <f>IF(Setup!$H$2=0,-1,IF(A632=0,-1,A632*1/(Setup!$G$6)))</f>
        <v>-1</v>
      </c>
      <c r="F632" s="31"/>
    </row>
    <row r="633" spans="1:6" ht="15.75" x14ac:dyDescent="0.25">
      <c r="A633"/>
      <c r="B633"/>
      <c r="C633" s="29" t="str">
        <f>IF(B633=0,"EMPTY",Setup!$D$11*((PI()*2*Setup!$B$22*A633*B633)/33000))</f>
        <v>EMPTY</v>
      </c>
      <c r="D633" s="30" t="str">
        <f>IF(Setup!$H$2=0,"EMPTY",IF(B633=0,"EMPTY",B633*Setup!$B$22*Setup!$G$6*Setup!$D$11))</f>
        <v>EMPTY</v>
      </c>
      <c r="E633" s="31">
        <f>IF(Setup!$H$2=0,-1,IF(A633=0,-1,A633*1/(Setup!$G$6)))</f>
        <v>-1</v>
      </c>
      <c r="F633" s="31"/>
    </row>
    <row r="634" spans="1:6" ht="15.75" x14ac:dyDescent="0.25">
      <c r="A634"/>
      <c r="B634"/>
      <c r="C634" s="29" t="str">
        <f>IF(B634=0,"EMPTY",Setup!$D$11*((PI()*2*Setup!$B$22*A634*B634)/33000))</f>
        <v>EMPTY</v>
      </c>
      <c r="D634" s="30" t="str">
        <f>IF(Setup!$H$2=0,"EMPTY",IF(B634=0,"EMPTY",B634*Setup!$B$22*Setup!$G$6*Setup!$D$11))</f>
        <v>EMPTY</v>
      </c>
      <c r="E634" s="31">
        <f>IF(Setup!$H$2=0,-1,IF(A634=0,-1,A634*1/(Setup!$G$6)))</f>
        <v>-1</v>
      </c>
      <c r="F634" s="31"/>
    </row>
    <row r="635" spans="1:6" ht="15.75" x14ac:dyDescent="0.25">
      <c r="A635"/>
      <c r="B635"/>
      <c r="C635" s="29" t="str">
        <f>IF(B635=0,"EMPTY",Setup!$D$11*((PI()*2*Setup!$B$22*A635*B635)/33000))</f>
        <v>EMPTY</v>
      </c>
      <c r="D635" s="30" t="str">
        <f>IF(Setup!$H$2=0,"EMPTY",IF(B635=0,"EMPTY",B635*Setup!$B$22*Setup!$G$6*Setup!$D$11))</f>
        <v>EMPTY</v>
      </c>
      <c r="E635" s="31">
        <f>IF(Setup!$H$2=0,-1,IF(A635=0,-1,A635*1/(Setup!$G$6)))</f>
        <v>-1</v>
      </c>
      <c r="F635" s="31"/>
    </row>
    <row r="636" spans="1:6" ht="15.75" x14ac:dyDescent="0.25">
      <c r="A636"/>
      <c r="B636"/>
      <c r="C636" s="29" t="str">
        <f>IF(B636=0,"EMPTY",Setup!$D$11*((PI()*2*Setup!$B$22*A636*B636)/33000))</f>
        <v>EMPTY</v>
      </c>
      <c r="D636" s="30" t="str">
        <f>IF(Setup!$H$2=0,"EMPTY",IF(B636=0,"EMPTY",B636*Setup!$B$22*Setup!$G$6*Setup!$D$11))</f>
        <v>EMPTY</v>
      </c>
      <c r="E636" s="31">
        <f>IF(Setup!$H$2=0,-1,IF(A636=0,-1,A636*1/(Setup!$G$6)))</f>
        <v>-1</v>
      </c>
      <c r="F636" s="31"/>
    </row>
    <row r="637" spans="1:6" ht="15.75" x14ac:dyDescent="0.25">
      <c r="A637"/>
      <c r="B637"/>
      <c r="C637" s="29" t="str">
        <f>IF(B637=0,"EMPTY",Setup!$D$11*((PI()*2*Setup!$B$22*A637*B637)/33000))</f>
        <v>EMPTY</v>
      </c>
      <c r="D637" s="30" t="str">
        <f>IF(Setup!$H$2=0,"EMPTY",IF(B637=0,"EMPTY",B637*Setup!$B$22*Setup!$G$6*Setup!$D$11))</f>
        <v>EMPTY</v>
      </c>
      <c r="E637" s="31">
        <f>IF(Setup!$H$2=0,-1,IF(A637=0,-1,A637*1/(Setup!$G$6)))</f>
        <v>-1</v>
      </c>
      <c r="F637" s="31"/>
    </row>
    <row r="638" spans="1:6" ht="15.75" x14ac:dyDescent="0.25">
      <c r="A638"/>
      <c r="B638"/>
      <c r="C638" s="29" t="str">
        <f>IF(B638=0,"EMPTY",Setup!$D$11*((PI()*2*Setup!$B$22*A638*B638)/33000))</f>
        <v>EMPTY</v>
      </c>
      <c r="D638" s="30" t="str">
        <f>IF(Setup!$H$2=0,"EMPTY",IF(B638=0,"EMPTY",B638*Setup!$B$22*Setup!$G$6*Setup!$D$11))</f>
        <v>EMPTY</v>
      </c>
      <c r="E638" s="31">
        <f>IF(Setup!$H$2=0,-1,IF(A638=0,-1,A638*1/(Setup!$G$6)))</f>
        <v>-1</v>
      </c>
      <c r="F638" s="31"/>
    </row>
    <row r="639" spans="1:6" ht="15.75" x14ac:dyDescent="0.25">
      <c r="A639"/>
      <c r="B639"/>
      <c r="C639" s="29" t="str">
        <f>IF(B639=0,"EMPTY",Setup!$D$11*((PI()*2*Setup!$B$22*A639*B639)/33000))</f>
        <v>EMPTY</v>
      </c>
      <c r="D639" s="30" t="str">
        <f>IF(Setup!$H$2=0,"EMPTY",IF(B639=0,"EMPTY",B639*Setup!$B$22*Setup!$G$6*Setup!$D$11))</f>
        <v>EMPTY</v>
      </c>
      <c r="E639" s="31">
        <f>IF(Setup!$H$2=0,-1,IF(A639=0,-1,A639*1/(Setup!$G$6)))</f>
        <v>-1</v>
      </c>
      <c r="F639" s="31"/>
    </row>
    <row r="640" spans="1:6" ht="15.75" x14ac:dyDescent="0.25">
      <c r="A640"/>
      <c r="B640"/>
      <c r="C640" s="29" t="str">
        <f>IF(B640=0,"EMPTY",Setup!$D$11*((PI()*2*Setup!$B$22*A640*B640)/33000))</f>
        <v>EMPTY</v>
      </c>
      <c r="D640" s="30" t="str">
        <f>IF(Setup!$H$2=0,"EMPTY",IF(B640=0,"EMPTY",B640*Setup!$B$22*Setup!$G$6*Setup!$D$11))</f>
        <v>EMPTY</v>
      </c>
      <c r="E640" s="31">
        <f>IF(Setup!$H$2=0,-1,IF(A640=0,-1,A640*1/(Setup!$G$6)))</f>
        <v>-1</v>
      </c>
      <c r="F640" s="31"/>
    </row>
    <row r="641" spans="1:6" ht="15.75" x14ac:dyDescent="0.25">
      <c r="A641"/>
      <c r="B641"/>
      <c r="C641" s="29" t="str">
        <f>IF(B641=0,"EMPTY",Setup!$D$11*((PI()*2*Setup!$B$22*A641*B641)/33000))</f>
        <v>EMPTY</v>
      </c>
      <c r="D641" s="30" t="str">
        <f>IF(Setup!$H$2=0,"EMPTY",IF(B641=0,"EMPTY",B641*Setup!$B$22*Setup!$G$6*Setup!$D$11))</f>
        <v>EMPTY</v>
      </c>
      <c r="E641" s="31">
        <f>IF(Setup!$H$2=0,-1,IF(A641=0,-1,A641*1/(Setup!$G$6)))</f>
        <v>-1</v>
      </c>
      <c r="F641" s="31"/>
    </row>
    <row r="642" spans="1:6" ht="15.75" x14ac:dyDescent="0.25">
      <c r="A642"/>
      <c r="B642"/>
      <c r="C642" s="29" t="str">
        <f>IF(B642=0,"EMPTY",Setup!$D$11*((PI()*2*Setup!$B$22*A642*B642)/33000))</f>
        <v>EMPTY</v>
      </c>
      <c r="D642" s="30" t="str">
        <f>IF(Setup!$H$2=0,"EMPTY",IF(B642=0,"EMPTY",B642*Setup!$B$22*Setup!$G$6*Setup!$D$11))</f>
        <v>EMPTY</v>
      </c>
      <c r="E642" s="31">
        <f>IF(Setup!$H$2=0,-1,IF(A642=0,-1,A642*1/(Setup!$G$6)))</f>
        <v>-1</v>
      </c>
      <c r="F642" s="31"/>
    </row>
    <row r="643" spans="1:6" ht="15.75" x14ac:dyDescent="0.25">
      <c r="A643"/>
      <c r="B643"/>
      <c r="C643" s="29" t="str">
        <f>IF(B643=0,"EMPTY",Setup!$D$11*((PI()*2*Setup!$B$22*A643*B643)/33000))</f>
        <v>EMPTY</v>
      </c>
      <c r="D643" s="30" t="str">
        <f>IF(Setup!$H$2=0,"EMPTY",IF(B643=0,"EMPTY",B643*Setup!$B$22*Setup!$G$6*Setup!$D$11))</f>
        <v>EMPTY</v>
      </c>
      <c r="E643" s="31">
        <f>IF(Setup!$H$2=0,-1,IF(A643=0,-1,A643*1/(Setup!$G$6)))</f>
        <v>-1</v>
      </c>
      <c r="F643" s="31"/>
    </row>
    <row r="644" spans="1:6" ht="15.75" x14ac:dyDescent="0.25">
      <c r="A644"/>
      <c r="B644"/>
      <c r="C644" s="29" t="str">
        <f>IF(B644=0,"EMPTY",Setup!$D$11*((PI()*2*Setup!$B$22*A644*B644)/33000))</f>
        <v>EMPTY</v>
      </c>
      <c r="D644" s="30" t="str">
        <f>IF(Setup!$H$2=0,"EMPTY",IF(B644=0,"EMPTY",B644*Setup!$B$22*Setup!$G$6*Setup!$D$11))</f>
        <v>EMPTY</v>
      </c>
      <c r="E644" s="31">
        <f>IF(Setup!$H$2=0,-1,IF(A644=0,-1,A644*1/(Setup!$G$6)))</f>
        <v>-1</v>
      </c>
      <c r="F644" s="31"/>
    </row>
    <row r="645" spans="1:6" ht="15.75" x14ac:dyDescent="0.25">
      <c r="A645"/>
      <c r="B645"/>
      <c r="C645" s="29" t="str">
        <f>IF(B645=0,"EMPTY",Setup!$D$11*((PI()*2*Setup!$B$22*A645*B645)/33000))</f>
        <v>EMPTY</v>
      </c>
      <c r="D645" s="30" t="str">
        <f>IF(Setup!$H$2=0,"EMPTY",IF(B645=0,"EMPTY",B645*Setup!$B$22*Setup!$G$6*Setup!$D$11))</f>
        <v>EMPTY</v>
      </c>
      <c r="E645" s="31">
        <f>IF(Setup!$H$2=0,-1,IF(A645=0,-1,A645*1/(Setup!$G$6)))</f>
        <v>-1</v>
      </c>
      <c r="F645" s="31"/>
    </row>
    <row r="646" spans="1:6" ht="15.75" x14ac:dyDescent="0.25">
      <c r="A646"/>
      <c r="B646"/>
      <c r="C646" s="29" t="str">
        <f>IF(B646=0,"EMPTY",Setup!$D$11*((PI()*2*Setup!$B$22*A646*B646)/33000))</f>
        <v>EMPTY</v>
      </c>
      <c r="D646" s="30" t="str">
        <f>IF(Setup!$H$2=0,"EMPTY",IF(B646=0,"EMPTY",B646*Setup!$B$22*Setup!$G$6*Setup!$D$11))</f>
        <v>EMPTY</v>
      </c>
      <c r="E646" s="31">
        <f>IF(Setup!$H$2=0,-1,IF(A646=0,-1,A646*1/(Setup!$G$6)))</f>
        <v>-1</v>
      </c>
      <c r="F646" s="31"/>
    </row>
    <row r="647" spans="1:6" ht="15.75" x14ac:dyDescent="0.25">
      <c r="A647"/>
      <c r="B647"/>
      <c r="C647" s="29" t="str">
        <f>IF(B647=0,"EMPTY",Setup!$D$11*((PI()*2*Setup!$B$22*A647*B647)/33000))</f>
        <v>EMPTY</v>
      </c>
      <c r="D647" s="30" t="str">
        <f>IF(Setup!$H$2=0,"EMPTY",IF(B647=0,"EMPTY",B647*Setup!$B$22*Setup!$G$6*Setup!$D$11))</f>
        <v>EMPTY</v>
      </c>
      <c r="E647" s="31">
        <f>IF(Setup!$H$2=0,-1,IF(A647=0,-1,A647*1/(Setup!$G$6)))</f>
        <v>-1</v>
      </c>
      <c r="F647" s="31"/>
    </row>
    <row r="648" spans="1:6" ht="15.75" x14ac:dyDescent="0.25">
      <c r="A648"/>
      <c r="B648"/>
      <c r="C648" s="29" t="str">
        <f>IF(B648=0,"EMPTY",Setup!$D$11*((PI()*2*Setup!$B$22*A648*B648)/33000))</f>
        <v>EMPTY</v>
      </c>
      <c r="D648" s="30" t="str">
        <f>IF(Setup!$H$2=0,"EMPTY",IF(B648=0,"EMPTY",B648*Setup!$B$22*Setup!$G$6*Setup!$D$11))</f>
        <v>EMPTY</v>
      </c>
      <c r="E648" s="31">
        <f>IF(Setup!$H$2=0,-1,IF(A648=0,-1,A648*1/(Setup!$G$6)))</f>
        <v>-1</v>
      </c>
      <c r="F648" s="31"/>
    </row>
    <row r="649" spans="1:6" ht="15.75" x14ac:dyDescent="0.25">
      <c r="A649"/>
      <c r="B649"/>
      <c r="C649" s="29" t="str">
        <f>IF(B649=0,"EMPTY",Setup!$D$11*((PI()*2*Setup!$B$22*A649*B649)/33000))</f>
        <v>EMPTY</v>
      </c>
      <c r="D649" s="30" t="str">
        <f>IF(Setup!$H$2=0,"EMPTY",IF(B649=0,"EMPTY",B649*Setup!$B$22*Setup!$G$6*Setup!$D$11))</f>
        <v>EMPTY</v>
      </c>
      <c r="E649" s="31">
        <f>IF(Setup!$H$2=0,-1,IF(A649=0,-1,A649*1/(Setup!$G$6)))</f>
        <v>-1</v>
      </c>
      <c r="F649" s="31"/>
    </row>
    <row r="650" spans="1:6" ht="15.75" x14ac:dyDescent="0.25">
      <c r="A650"/>
      <c r="B650"/>
      <c r="C650" s="29" t="str">
        <f>IF(B650=0,"EMPTY",Setup!$D$11*((PI()*2*Setup!$B$22*A650*B650)/33000))</f>
        <v>EMPTY</v>
      </c>
      <c r="D650" s="30" t="str">
        <f>IF(Setup!$H$2=0,"EMPTY",IF(B650=0,"EMPTY",B650*Setup!$B$22*Setup!$G$6*Setup!$D$11))</f>
        <v>EMPTY</v>
      </c>
      <c r="E650" s="31">
        <f>IF(Setup!$H$2=0,-1,IF(A650=0,-1,A650*1/(Setup!$G$6)))</f>
        <v>-1</v>
      </c>
      <c r="F650" s="31"/>
    </row>
    <row r="651" spans="1:6" ht="15.75" x14ac:dyDescent="0.25">
      <c r="A651"/>
      <c r="B651"/>
      <c r="C651" s="29" t="str">
        <f>IF(B651=0,"EMPTY",Setup!$D$11*((PI()*2*Setup!$B$22*A651*B651)/33000))</f>
        <v>EMPTY</v>
      </c>
      <c r="D651" s="30" t="str">
        <f>IF(Setup!$H$2=0,"EMPTY",IF(B651=0,"EMPTY",B651*Setup!$B$22*Setup!$G$6*Setup!$D$11))</f>
        <v>EMPTY</v>
      </c>
      <c r="E651" s="31">
        <f>IF(Setup!$H$2=0,-1,IF(A651=0,-1,A651*1/(Setup!$G$6)))</f>
        <v>-1</v>
      </c>
      <c r="F651" s="31"/>
    </row>
    <row r="652" spans="1:6" ht="15.75" x14ac:dyDescent="0.25">
      <c r="A652"/>
      <c r="B652"/>
      <c r="C652" s="29" t="str">
        <f>IF(B652=0,"EMPTY",Setup!$D$11*((PI()*2*Setup!$B$22*A652*B652)/33000))</f>
        <v>EMPTY</v>
      </c>
      <c r="D652" s="30" t="str">
        <f>IF(Setup!$H$2=0,"EMPTY",IF(B652=0,"EMPTY",B652*Setup!$B$22*Setup!$G$6*Setup!$D$11))</f>
        <v>EMPTY</v>
      </c>
      <c r="E652" s="31">
        <f>IF(Setup!$H$2=0,-1,IF(A652=0,-1,A652*1/(Setup!$G$6)))</f>
        <v>-1</v>
      </c>
      <c r="F652" s="31"/>
    </row>
    <row r="653" spans="1:6" ht="15.75" x14ac:dyDescent="0.25">
      <c r="A653"/>
      <c r="B653"/>
      <c r="C653" s="29" t="str">
        <f>IF(B653=0,"EMPTY",Setup!$D$11*((PI()*2*Setup!$B$22*A653*B653)/33000))</f>
        <v>EMPTY</v>
      </c>
      <c r="D653" s="30" t="str">
        <f>IF(Setup!$H$2=0,"EMPTY",IF(B653=0,"EMPTY",B653*Setup!$B$22*Setup!$G$6*Setup!$D$11))</f>
        <v>EMPTY</v>
      </c>
      <c r="E653" s="31">
        <f>IF(Setup!$H$2=0,-1,IF(A653=0,-1,A653*1/(Setup!$G$6)))</f>
        <v>-1</v>
      </c>
      <c r="F653" s="31"/>
    </row>
    <row r="654" spans="1:6" ht="15.75" x14ac:dyDescent="0.25">
      <c r="A654"/>
      <c r="B654"/>
      <c r="C654" s="29" t="str">
        <f>IF(B654=0,"EMPTY",Setup!$D$11*((PI()*2*Setup!$B$22*A654*B654)/33000))</f>
        <v>EMPTY</v>
      </c>
      <c r="D654" s="30" t="str">
        <f>IF(Setup!$H$2=0,"EMPTY",IF(B654=0,"EMPTY",B654*Setup!$B$22*Setup!$G$6*Setup!$D$11))</f>
        <v>EMPTY</v>
      </c>
      <c r="E654" s="31">
        <f>IF(Setup!$H$2=0,-1,IF(A654=0,-1,A654*1/(Setup!$G$6)))</f>
        <v>-1</v>
      </c>
      <c r="F654" s="31"/>
    </row>
    <row r="655" spans="1:6" ht="15.75" x14ac:dyDescent="0.25">
      <c r="A655"/>
      <c r="B655"/>
      <c r="C655" s="29" t="str">
        <f>IF(B655=0,"EMPTY",Setup!$D$11*((PI()*2*Setup!$B$22*A655*B655)/33000))</f>
        <v>EMPTY</v>
      </c>
      <c r="D655" s="30" t="str">
        <f>IF(Setup!$H$2=0,"EMPTY",IF(B655=0,"EMPTY",B655*Setup!$B$22*Setup!$G$6*Setup!$D$11))</f>
        <v>EMPTY</v>
      </c>
      <c r="E655" s="31">
        <f>IF(Setup!$H$2=0,-1,IF(A655=0,-1,A655*1/(Setup!$G$6)))</f>
        <v>-1</v>
      </c>
      <c r="F655" s="31"/>
    </row>
    <row r="656" spans="1:6" ht="15.75" x14ac:dyDescent="0.25">
      <c r="A656"/>
      <c r="B656"/>
      <c r="C656" s="29" t="str">
        <f>IF(B656=0,"EMPTY",Setup!$D$11*((PI()*2*Setup!$B$22*A656*B656)/33000))</f>
        <v>EMPTY</v>
      </c>
      <c r="D656" s="30" t="str">
        <f>IF(Setup!$H$2=0,"EMPTY",IF(B656=0,"EMPTY",B656*Setup!$B$22*Setup!$G$6*Setup!$D$11))</f>
        <v>EMPTY</v>
      </c>
      <c r="E656" s="31">
        <f>IF(Setup!$H$2=0,-1,IF(A656=0,-1,A656*1/(Setup!$G$6)))</f>
        <v>-1</v>
      </c>
      <c r="F656" s="31"/>
    </row>
    <row r="657" spans="1:6" ht="15.75" x14ac:dyDescent="0.25">
      <c r="A657"/>
      <c r="B657"/>
      <c r="C657" s="29" t="str">
        <f>IF(B657=0,"EMPTY",Setup!$D$11*((PI()*2*Setup!$B$22*A657*B657)/33000))</f>
        <v>EMPTY</v>
      </c>
      <c r="D657" s="30" t="str">
        <f>IF(Setup!$H$2=0,"EMPTY",IF(B657=0,"EMPTY",B657*Setup!$B$22*Setup!$G$6*Setup!$D$11))</f>
        <v>EMPTY</v>
      </c>
      <c r="E657" s="31">
        <f>IF(Setup!$H$2=0,-1,IF(A657=0,-1,A657*1/(Setup!$G$6)))</f>
        <v>-1</v>
      </c>
      <c r="F657" s="31"/>
    </row>
    <row r="658" spans="1:6" ht="15.75" x14ac:dyDescent="0.25">
      <c r="A658"/>
      <c r="B658"/>
      <c r="C658" s="29" t="str">
        <f>IF(B658=0,"EMPTY",Setup!$D$11*((PI()*2*Setup!$B$22*A658*B658)/33000))</f>
        <v>EMPTY</v>
      </c>
      <c r="D658" s="30" t="str">
        <f>IF(Setup!$H$2=0,"EMPTY",IF(B658=0,"EMPTY",B658*Setup!$B$22*Setup!$G$6*Setup!$D$11))</f>
        <v>EMPTY</v>
      </c>
      <c r="E658" s="31">
        <f>IF(Setup!$H$2=0,-1,IF(A658=0,-1,A658*1/(Setup!$G$6)))</f>
        <v>-1</v>
      </c>
      <c r="F658" s="31"/>
    </row>
    <row r="659" spans="1:6" ht="15.75" x14ac:dyDescent="0.25">
      <c r="A659"/>
      <c r="B659"/>
      <c r="C659" s="29" t="str">
        <f>IF(B659=0,"EMPTY",Setup!$D$11*((PI()*2*Setup!$B$22*A659*B659)/33000))</f>
        <v>EMPTY</v>
      </c>
      <c r="D659" s="30" t="str">
        <f>IF(Setup!$H$2=0,"EMPTY",IF(B659=0,"EMPTY",B659*Setup!$B$22*Setup!$G$6*Setup!$D$11))</f>
        <v>EMPTY</v>
      </c>
      <c r="E659" s="31">
        <f>IF(Setup!$H$2=0,-1,IF(A659=0,-1,A659*1/(Setup!$G$6)))</f>
        <v>-1</v>
      </c>
      <c r="F659" s="31"/>
    </row>
    <row r="660" spans="1:6" ht="15.75" x14ac:dyDescent="0.25">
      <c r="A660"/>
      <c r="B660"/>
      <c r="C660" s="29" t="str">
        <f>IF(B660=0,"EMPTY",Setup!$D$11*((PI()*2*Setup!$B$22*A660*B660)/33000))</f>
        <v>EMPTY</v>
      </c>
      <c r="D660" s="30" t="str">
        <f>IF(Setup!$H$2=0,"EMPTY",IF(B660=0,"EMPTY",B660*Setup!$B$22*Setup!$G$6*Setup!$D$11))</f>
        <v>EMPTY</v>
      </c>
      <c r="E660" s="31">
        <f>IF(Setup!$H$2=0,-1,IF(A660=0,-1,A660*1/(Setup!$G$6)))</f>
        <v>-1</v>
      </c>
      <c r="F660" s="31"/>
    </row>
    <row r="661" spans="1:6" ht="15.75" x14ac:dyDescent="0.25">
      <c r="A661"/>
      <c r="B661"/>
      <c r="C661" s="29" t="str">
        <f>IF(B661=0,"EMPTY",Setup!$D$11*((PI()*2*Setup!$B$22*A661*B661)/33000))</f>
        <v>EMPTY</v>
      </c>
      <c r="D661" s="30" t="str">
        <f>IF(Setup!$H$2=0,"EMPTY",IF(B661=0,"EMPTY",B661*Setup!$B$22*Setup!$G$6*Setup!$D$11))</f>
        <v>EMPTY</v>
      </c>
      <c r="E661" s="31">
        <f>IF(Setup!$H$2=0,-1,IF(A661=0,-1,A661*1/(Setup!$G$6)))</f>
        <v>-1</v>
      </c>
      <c r="F661" s="31"/>
    </row>
    <row r="662" spans="1:6" ht="15.75" x14ac:dyDescent="0.25">
      <c r="A662"/>
      <c r="B662"/>
      <c r="C662" s="29" t="str">
        <f>IF(B662=0,"EMPTY",Setup!$D$11*((PI()*2*Setup!$B$22*A662*B662)/33000))</f>
        <v>EMPTY</v>
      </c>
      <c r="D662" s="30" t="str">
        <f>IF(Setup!$H$2=0,"EMPTY",IF(B662=0,"EMPTY",B662*Setup!$B$22*Setup!$G$6*Setup!$D$11))</f>
        <v>EMPTY</v>
      </c>
      <c r="E662" s="31">
        <f>IF(Setup!$H$2=0,-1,IF(A662=0,-1,A662*1/(Setup!$G$6)))</f>
        <v>-1</v>
      </c>
      <c r="F662" s="31"/>
    </row>
    <row r="663" spans="1:6" ht="15.75" x14ac:dyDescent="0.25">
      <c r="A663"/>
      <c r="B663"/>
      <c r="C663" s="29" t="str">
        <f>IF(B663=0,"EMPTY",Setup!$D$11*((PI()*2*Setup!$B$22*A663*B663)/33000))</f>
        <v>EMPTY</v>
      </c>
      <c r="D663" s="30" t="str">
        <f>IF(Setup!$H$2=0,"EMPTY",IF(B663=0,"EMPTY",B663*Setup!$B$22*Setup!$G$6*Setup!$D$11))</f>
        <v>EMPTY</v>
      </c>
      <c r="E663" s="31">
        <f>IF(Setup!$H$2=0,-1,IF(A663=0,-1,A663*1/(Setup!$G$6)))</f>
        <v>-1</v>
      </c>
      <c r="F663" s="31"/>
    </row>
    <row r="664" spans="1:6" ht="15.75" x14ac:dyDescent="0.25">
      <c r="A664"/>
      <c r="B664"/>
      <c r="C664" s="29" t="str">
        <f>IF(B664=0,"EMPTY",Setup!$D$11*((PI()*2*Setup!$B$22*A664*B664)/33000))</f>
        <v>EMPTY</v>
      </c>
      <c r="D664" s="30" t="str">
        <f>IF(Setup!$H$2=0,"EMPTY",IF(B664=0,"EMPTY",B664*Setup!$B$22*Setup!$G$6*Setup!$D$11))</f>
        <v>EMPTY</v>
      </c>
      <c r="E664" s="31">
        <f>IF(Setup!$H$2=0,-1,IF(A664=0,-1,A664*1/(Setup!$G$6)))</f>
        <v>-1</v>
      </c>
      <c r="F664" s="31"/>
    </row>
    <row r="665" spans="1:6" ht="15.75" x14ac:dyDescent="0.25">
      <c r="A665"/>
      <c r="B665"/>
      <c r="C665" s="29" t="str">
        <f>IF(B665=0,"EMPTY",Setup!$D$11*((PI()*2*Setup!$B$22*A665*B665)/33000))</f>
        <v>EMPTY</v>
      </c>
      <c r="D665" s="30" t="str">
        <f>IF(Setup!$H$2=0,"EMPTY",IF(B665=0,"EMPTY",B665*Setup!$B$22*Setup!$G$6*Setup!$D$11))</f>
        <v>EMPTY</v>
      </c>
      <c r="E665" s="31">
        <f>IF(Setup!$H$2=0,-1,IF(A665=0,-1,A665*1/(Setup!$G$6)))</f>
        <v>-1</v>
      </c>
      <c r="F665" s="31"/>
    </row>
    <row r="666" spans="1:6" ht="15.75" x14ac:dyDescent="0.25">
      <c r="A666"/>
      <c r="B666"/>
      <c r="C666" s="29" t="str">
        <f>IF(B666=0,"EMPTY",Setup!$D$11*((PI()*2*Setup!$B$22*A666*B666)/33000))</f>
        <v>EMPTY</v>
      </c>
      <c r="D666" s="30" t="str">
        <f>IF(Setup!$H$2=0,"EMPTY",IF(B666=0,"EMPTY",B666*Setup!$B$22*Setup!$G$6*Setup!$D$11))</f>
        <v>EMPTY</v>
      </c>
      <c r="E666" s="31">
        <f>IF(Setup!$H$2=0,-1,IF(A666=0,-1,A666*1/(Setup!$G$6)))</f>
        <v>-1</v>
      </c>
      <c r="F666" s="31"/>
    </row>
    <row r="667" spans="1:6" ht="15.75" x14ac:dyDescent="0.25">
      <c r="A667"/>
      <c r="B667"/>
      <c r="C667" s="29" t="str">
        <f>IF(B667=0,"EMPTY",Setup!$D$11*((PI()*2*Setup!$B$22*A667*B667)/33000))</f>
        <v>EMPTY</v>
      </c>
      <c r="D667" s="30" t="str">
        <f>IF(Setup!$H$2=0,"EMPTY",IF(B667=0,"EMPTY",B667*Setup!$B$22*Setup!$G$6*Setup!$D$11))</f>
        <v>EMPTY</v>
      </c>
      <c r="E667" s="31">
        <f>IF(Setup!$H$2=0,-1,IF(A667=0,-1,A667*1/(Setup!$G$6)))</f>
        <v>-1</v>
      </c>
      <c r="F667" s="31"/>
    </row>
    <row r="668" spans="1:6" ht="15.75" x14ac:dyDescent="0.25">
      <c r="A668"/>
      <c r="B668"/>
      <c r="C668" s="29" t="str">
        <f>IF(B668=0,"EMPTY",Setup!$D$11*((PI()*2*Setup!$B$22*A668*B668)/33000))</f>
        <v>EMPTY</v>
      </c>
      <c r="D668" s="30" t="str">
        <f>IF(Setup!$H$2=0,"EMPTY",IF(B668=0,"EMPTY",B668*Setup!$B$22*Setup!$G$6*Setup!$D$11))</f>
        <v>EMPTY</v>
      </c>
      <c r="E668" s="31">
        <f>IF(Setup!$H$2=0,-1,IF(A668=0,-1,A668*1/(Setup!$G$6)))</f>
        <v>-1</v>
      </c>
      <c r="F668" s="31"/>
    </row>
    <row r="669" spans="1:6" ht="15.75" x14ac:dyDescent="0.25">
      <c r="A669"/>
      <c r="B669"/>
      <c r="C669" s="29" t="str">
        <f>IF(B669=0,"EMPTY",Setup!$D$11*((PI()*2*Setup!$B$22*A669*B669)/33000))</f>
        <v>EMPTY</v>
      </c>
      <c r="D669" s="30" t="str">
        <f>IF(Setup!$H$2=0,"EMPTY",IF(B669=0,"EMPTY",B669*Setup!$B$22*Setup!$G$6*Setup!$D$11))</f>
        <v>EMPTY</v>
      </c>
      <c r="E669" s="31">
        <f>IF(Setup!$H$2=0,-1,IF(A669=0,-1,A669*1/(Setup!$G$6)))</f>
        <v>-1</v>
      </c>
      <c r="F669" s="31"/>
    </row>
    <row r="670" spans="1:6" ht="15.75" x14ac:dyDescent="0.25">
      <c r="A670"/>
      <c r="B670"/>
      <c r="C670" s="29" t="str">
        <f>IF(B670=0,"EMPTY",Setup!$D$11*((PI()*2*Setup!$B$22*A670*B670)/33000))</f>
        <v>EMPTY</v>
      </c>
      <c r="D670" s="30" t="str">
        <f>IF(Setup!$H$2=0,"EMPTY",IF(B670=0,"EMPTY",B670*Setup!$B$22*Setup!$G$6*Setup!$D$11))</f>
        <v>EMPTY</v>
      </c>
      <c r="E670" s="31">
        <f>IF(Setup!$H$2=0,-1,IF(A670=0,-1,A670*1/(Setup!$G$6)))</f>
        <v>-1</v>
      </c>
      <c r="F670" s="31"/>
    </row>
    <row r="671" spans="1:6" ht="15.75" x14ac:dyDescent="0.25">
      <c r="A671"/>
      <c r="B671"/>
      <c r="C671" s="29" t="str">
        <f>IF(B671=0,"EMPTY",Setup!$D$11*((PI()*2*Setup!$B$22*A671*B671)/33000))</f>
        <v>EMPTY</v>
      </c>
      <c r="D671" s="30" t="str">
        <f>IF(Setup!$H$2=0,"EMPTY",IF(B671=0,"EMPTY",B671*Setup!$B$22*Setup!$G$6*Setup!$D$11))</f>
        <v>EMPTY</v>
      </c>
      <c r="E671" s="31">
        <f>IF(Setup!$H$2=0,-1,IF(A671=0,-1,A671*1/(Setup!$G$6)))</f>
        <v>-1</v>
      </c>
      <c r="F671" s="31"/>
    </row>
    <row r="672" spans="1:6" ht="15.75" x14ac:dyDescent="0.25">
      <c r="A672"/>
      <c r="B672"/>
      <c r="C672" s="29" t="str">
        <f>IF(B672=0,"EMPTY",Setup!$D$11*((PI()*2*Setup!$B$22*A672*B672)/33000))</f>
        <v>EMPTY</v>
      </c>
      <c r="D672" s="30" t="str">
        <f>IF(Setup!$H$2=0,"EMPTY",IF(B672=0,"EMPTY",B672*Setup!$B$22*Setup!$G$6*Setup!$D$11))</f>
        <v>EMPTY</v>
      </c>
      <c r="E672" s="31">
        <f>IF(Setup!$H$2=0,-1,IF(A672=0,-1,A672*1/(Setup!$G$6)))</f>
        <v>-1</v>
      </c>
      <c r="F672" s="31"/>
    </row>
    <row r="673" spans="1:6" ht="15.75" x14ac:dyDescent="0.25">
      <c r="A673"/>
      <c r="B673"/>
      <c r="C673" s="29" t="str">
        <f>IF(B673=0,"EMPTY",Setup!$D$11*((PI()*2*Setup!$B$22*A673*B673)/33000))</f>
        <v>EMPTY</v>
      </c>
      <c r="D673" s="30" t="str">
        <f>IF(Setup!$H$2=0,"EMPTY",IF(B673=0,"EMPTY",B673*Setup!$B$22*Setup!$G$6*Setup!$D$11))</f>
        <v>EMPTY</v>
      </c>
      <c r="E673" s="31">
        <f>IF(Setup!$H$2=0,-1,IF(A673=0,-1,A673*1/(Setup!$G$6)))</f>
        <v>-1</v>
      </c>
      <c r="F673" s="31"/>
    </row>
    <row r="674" spans="1:6" ht="15.75" x14ac:dyDescent="0.25">
      <c r="A674"/>
      <c r="B674"/>
      <c r="C674" s="29" t="str">
        <f>IF(B674=0,"EMPTY",Setup!$D$11*((PI()*2*Setup!$B$22*A674*B674)/33000))</f>
        <v>EMPTY</v>
      </c>
      <c r="D674" s="30" t="str">
        <f>IF(Setup!$H$2=0,"EMPTY",IF(B674=0,"EMPTY",B674*Setup!$B$22*Setup!$G$6*Setup!$D$11))</f>
        <v>EMPTY</v>
      </c>
      <c r="E674" s="31">
        <f>IF(Setup!$H$2=0,-1,IF(A674=0,-1,A674*1/(Setup!$G$6)))</f>
        <v>-1</v>
      </c>
      <c r="F674" s="31"/>
    </row>
    <row r="675" spans="1:6" ht="15.75" x14ac:dyDescent="0.25">
      <c r="A675"/>
      <c r="B675"/>
      <c r="C675" s="29" t="str">
        <f>IF(B675=0,"EMPTY",Setup!$D$11*((PI()*2*Setup!$B$22*A675*B675)/33000))</f>
        <v>EMPTY</v>
      </c>
      <c r="D675" s="30" t="str">
        <f>IF(Setup!$H$2=0,"EMPTY",IF(B675=0,"EMPTY",B675*Setup!$B$22*Setup!$G$6*Setup!$D$11))</f>
        <v>EMPTY</v>
      </c>
      <c r="E675" s="31">
        <f>IF(Setup!$H$2=0,-1,IF(A675=0,-1,A675*1/(Setup!$G$6)))</f>
        <v>-1</v>
      </c>
      <c r="F675" s="31"/>
    </row>
    <row r="676" spans="1:6" ht="15.75" x14ac:dyDescent="0.25">
      <c r="A676"/>
      <c r="B676"/>
      <c r="C676" s="29" t="str">
        <f>IF(B676=0,"EMPTY",Setup!$D$11*((PI()*2*Setup!$B$22*A676*B676)/33000))</f>
        <v>EMPTY</v>
      </c>
      <c r="D676" s="30" t="str">
        <f>IF(Setup!$H$2=0,"EMPTY",IF(B676=0,"EMPTY",B676*Setup!$B$22*Setup!$G$6*Setup!$D$11))</f>
        <v>EMPTY</v>
      </c>
      <c r="E676" s="31">
        <f>IF(Setup!$H$2=0,-1,IF(A676=0,-1,A676*1/(Setup!$G$6)))</f>
        <v>-1</v>
      </c>
      <c r="F676" s="31"/>
    </row>
    <row r="677" spans="1:6" ht="15.75" x14ac:dyDescent="0.25">
      <c r="A677"/>
      <c r="B677"/>
      <c r="C677" s="29" t="str">
        <f>IF(B677=0,"EMPTY",Setup!$D$11*((PI()*2*Setup!$B$22*A677*B677)/33000))</f>
        <v>EMPTY</v>
      </c>
      <c r="D677" s="30" t="str">
        <f>IF(Setup!$H$2=0,"EMPTY",IF(B677=0,"EMPTY",B677*Setup!$B$22*Setup!$G$6*Setup!$D$11))</f>
        <v>EMPTY</v>
      </c>
      <c r="E677" s="31">
        <f>IF(Setup!$H$2=0,-1,IF(A677=0,-1,A677*1/(Setup!$G$6)))</f>
        <v>-1</v>
      </c>
      <c r="F677" s="31"/>
    </row>
    <row r="678" spans="1:6" ht="15.75" x14ac:dyDescent="0.25">
      <c r="A678"/>
      <c r="B678"/>
      <c r="C678" s="29" t="str">
        <f>IF(B678=0,"EMPTY",Setup!$D$11*((PI()*2*Setup!$B$22*A678*B678)/33000))</f>
        <v>EMPTY</v>
      </c>
      <c r="D678" s="30" t="str">
        <f>IF(Setup!$H$2=0,"EMPTY",IF(B678=0,"EMPTY",B678*Setup!$B$22*Setup!$G$6*Setup!$D$11))</f>
        <v>EMPTY</v>
      </c>
      <c r="E678" s="31">
        <f>IF(Setup!$H$2=0,-1,IF(A678=0,-1,A678*1/(Setup!$G$6)))</f>
        <v>-1</v>
      </c>
      <c r="F678" s="31"/>
    </row>
    <row r="679" spans="1:6" ht="15.75" x14ac:dyDescent="0.25">
      <c r="A679"/>
      <c r="B679"/>
      <c r="C679" s="29" t="str">
        <f>IF(B679=0,"EMPTY",Setup!$D$11*((PI()*2*Setup!$B$22*A679*B679)/33000))</f>
        <v>EMPTY</v>
      </c>
      <c r="D679" s="30" t="str">
        <f>IF(Setup!$H$2=0,"EMPTY",IF(B679=0,"EMPTY",B679*Setup!$B$22*Setup!$G$6*Setup!$D$11))</f>
        <v>EMPTY</v>
      </c>
      <c r="E679" s="31">
        <f>IF(Setup!$H$2=0,-1,IF(A679=0,-1,A679*1/(Setup!$G$6)))</f>
        <v>-1</v>
      </c>
      <c r="F679" s="31"/>
    </row>
    <row r="680" spans="1:6" ht="15.75" x14ac:dyDescent="0.25">
      <c r="A680"/>
      <c r="B680"/>
      <c r="C680" s="29" t="str">
        <f>IF(B680=0,"EMPTY",Setup!$D$11*((PI()*2*Setup!$B$22*A680*B680)/33000))</f>
        <v>EMPTY</v>
      </c>
      <c r="D680" s="30" t="str">
        <f>IF(Setup!$H$2=0,"EMPTY",IF(B680=0,"EMPTY",B680*Setup!$B$22*Setup!$G$6*Setup!$D$11))</f>
        <v>EMPTY</v>
      </c>
      <c r="E680" s="31">
        <f>IF(Setup!$H$2=0,-1,IF(A680=0,-1,A680*1/(Setup!$G$6)))</f>
        <v>-1</v>
      </c>
      <c r="F680" s="31"/>
    </row>
    <row r="681" spans="1:6" ht="15.75" x14ac:dyDescent="0.25">
      <c r="A681"/>
      <c r="B681"/>
      <c r="C681" s="29" t="str">
        <f>IF(B681=0,"EMPTY",Setup!$D$11*((PI()*2*Setup!$B$22*A681*B681)/33000))</f>
        <v>EMPTY</v>
      </c>
      <c r="D681" s="30" t="str">
        <f>IF(Setup!$H$2=0,"EMPTY",IF(B681=0,"EMPTY",B681*Setup!$B$22*Setup!$G$6*Setup!$D$11))</f>
        <v>EMPTY</v>
      </c>
      <c r="E681" s="31">
        <f>IF(Setup!$H$2=0,-1,IF(A681=0,-1,A681*1/(Setup!$G$6)))</f>
        <v>-1</v>
      </c>
      <c r="F681" s="31"/>
    </row>
    <row r="682" spans="1:6" ht="15.75" x14ac:dyDescent="0.25">
      <c r="A682"/>
      <c r="B682"/>
      <c r="C682" s="29" t="str">
        <f>IF(B682=0,"EMPTY",Setup!$D$11*((PI()*2*Setup!$B$22*A682*B682)/33000))</f>
        <v>EMPTY</v>
      </c>
      <c r="D682" s="30" t="str">
        <f>IF(Setup!$H$2=0,"EMPTY",IF(B682=0,"EMPTY",B682*Setup!$B$22*Setup!$G$6*Setup!$D$11))</f>
        <v>EMPTY</v>
      </c>
      <c r="E682" s="31">
        <f>IF(Setup!$H$2=0,-1,IF(A682=0,-1,A682*1/(Setup!$G$6)))</f>
        <v>-1</v>
      </c>
      <c r="F682" s="31"/>
    </row>
    <row r="683" spans="1:6" ht="15.75" x14ac:dyDescent="0.25">
      <c r="A683"/>
      <c r="B683"/>
      <c r="C683" s="29" t="str">
        <f>IF(B683=0,"EMPTY",Setup!$D$11*((PI()*2*Setup!$B$22*A683*B683)/33000))</f>
        <v>EMPTY</v>
      </c>
      <c r="D683" s="30" t="str">
        <f>IF(Setup!$H$2=0,"EMPTY",IF(B683=0,"EMPTY",B683*Setup!$B$22*Setup!$G$6*Setup!$D$11))</f>
        <v>EMPTY</v>
      </c>
      <c r="E683" s="31">
        <f>IF(Setup!$H$2=0,-1,IF(A683=0,-1,A683*1/(Setup!$G$6)))</f>
        <v>-1</v>
      </c>
      <c r="F683" s="31"/>
    </row>
    <row r="684" spans="1:6" ht="15.75" x14ac:dyDescent="0.25">
      <c r="A684"/>
      <c r="B684"/>
      <c r="C684" s="29" t="str">
        <f>IF(B684=0,"EMPTY",Setup!$D$11*((PI()*2*Setup!$B$22*A684*B684)/33000))</f>
        <v>EMPTY</v>
      </c>
      <c r="D684" s="30" t="str">
        <f>IF(Setup!$H$2=0,"EMPTY",IF(B684=0,"EMPTY",B684*Setup!$B$22*Setup!$G$6*Setup!$D$11))</f>
        <v>EMPTY</v>
      </c>
      <c r="E684" s="31">
        <f>IF(Setup!$H$2=0,-1,IF(A684=0,-1,A684*1/(Setup!$G$6)))</f>
        <v>-1</v>
      </c>
      <c r="F684" s="31"/>
    </row>
    <row r="685" spans="1:6" ht="15.75" x14ac:dyDescent="0.25">
      <c r="A685"/>
      <c r="B685"/>
      <c r="C685" s="29" t="str">
        <f>IF(B685=0,"EMPTY",Setup!$D$11*((PI()*2*Setup!$B$22*A685*B685)/33000))</f>
        <v>EMPTY</v>
      </c>
      <c r="D685" s="30" t="str">
        <f>IF(Setup!$H$2=0,"EMPTY",IF(B685=0,"EMPTY",B685*Setup!$B$22*Setup!$G$6*Setup!$D$11))</f>
        <v>EMPTY</v>
      </c>
      <c r="E685" s="31">
        <f>IF(Setup!$H$2=0,-1,IF(A685=0,-1,A685*1/(Setup!$G$6)))</f>
        <v>-1</v>
      </c>
      <c r="F685" s="31"/>
    </row>
    <row r="686" spans="1:6" ht="15.75" x14ac:dyDescent="0.25">
      <c r="A686"/>
      <c r="B686"/>
      <c r="C686" s="29" t="str">
        <f>IF(B686=0,"EMPTY",Setup!$D$11*((PI()*2*Setup!$B$22*A686*B686)/33000))</f>
        <v>EMPTY</v>
      </c>
      <c r="D686" s="30" t="str">
        <f>IF(Setup!$H$2=0,"EMPTY",IF(B686=0,"EMPTY",B686*Setup!$B$22*Setup!$G$6*Setup!$D$11))</f>
        <v>EMPTY</v>
      </c>
      <c r="E686" s="31">
        <f>IF(Setup!$H$2=0,-1,IF(A686=0,-1,A686*1/(Setup!$G$6)))</f>
        <v>-1</v>
      </c>
      <c r="F686" s="31"/>
    </row>
    <row r="687" spans="1:6" ht="15.75" x14ac:dyDescent="0.25">
      <c r="A687"/>
      <c r="B687"/>
      <c r="C687" s="29" t="str">
        <f>IF(B687=0,"EMPTY",Setup!$D$11*((PI()*2*Setup!$B$22*A687*B687)/33000))</f>
        <v>EMPTY</v>
      </c>
      <c r="D687" s="30" t="str">
        <f>IF(Setup!$H$2=0,"EMPTY",IF(B687=0,"EMPTY",B687*Setup!$B$22*Setup!$G$6*Setup!$D$11))</f>
        <v>EMPTY</v>
      </c>
      <c r="E687" s="31">
        <f>IF(Setup!$H$2=0,-1,IF(A687=0,-1,A687*1/(Setup!$G$6)))</f>
        <v>-1</v>
      </c>
      <c r="F687" s="31"/>
    </row>
    <row r="688" spans="1:6" ht="15.75" x14ac:dyDescent="0.25">
      <c r="A688"/>
      <c r="B688"/>
      <c r="C688" s="29" t="str">
        <f>IF(B688=0,"EMPTY",Setup!$D$11*((PI()*2*Setup!$B$22*A688*B688)/33000))</f>
        <v>EMPTY</v>
      </c>
      <c r="D688" s="30" t="str">
        <f>IF(Setup!$H$2=0,"EMPTY",IF(B688=0,"EMPTY",B688*Setup!$B$22*Setup!$G$6*Setup!$D$11))</f>
        <v>EMPTY</v>
      </c>
      <c r="E688" s="31">
        <f>IF(Setup!$H$2=0,-1,IF(A688=0,-1,A688*1/(Setup!$G$6)))</f>
        <v>-1</v>
      </c>
      <c r="F688" s="31"/>
    </row>
    <row r="689" spans="1:6" ht="15.75" x14ac:dyDescent="0.25">
      <c r="A689"/>
      <c r="B689"/>
      <c r="C689" s="29" t="str">
        <f>IF(B689=0,"EMPTY",Setup!$D$11*((PI()*2*Setup!$B$22*A689*B689)/33000))</f>
        <v>EMPTY</v>
      </c>
      <c r="D689" s="30" t="str">
        <f>IF(Setup!$H$2=0,"EMPTY",IF(B689=0,"EMPTY",B689*Setup!$B$22*Setup!$G$6*Setup!$D$11))</f>
        <v>EMPTY</v>
      </c>
      <c r="E689" s="31">
        <f>IF(Setup!$H$2=0,-1,IF(A689=0,-1,A689*1/(Setup!$G$6)))</f>
        <v>-1</v>
      </c>
      <c r="F689" s="31"/>
    </row>
    <row r="690" spans="1:6" ht="15.75" x14ac:dyDescent="0.25">
      <c r="A690"/>
      <c r="B690"/>
      <c r="C690" s="29" t="str">
        <f>IF(B690=0,"EMPTY",Setup!$D$11*((PI()*2*Setup!$B$22*A690*B690)/33000))</f>
        <v>EMPTY</v>
      </c>
      <c r="D690" s="30" t="str">
        <f>IF(Setup!$H$2=0,"EMPTY",IF(B690=0,"EMPTY",B690*Setup!$B$22*Setup!$G$6*Setup!$D$11))</f>
        <v>EMPTY</v>
      </c>
      <c r="E690" s="31">
        <f>IF(Setup!$H$2=0,-1,IF(A690=0,-1,A690*1/(Setup!$G$6)))</f>
        <v>-1</v>
      </c>
      <c r="F690" s="31"/>
    </row>
    <row r="691" spans="1:6" ht="15.75" x14ac:dyDescent="0.25">
      <c r="A691"/>
      <c r="B691"/>
      <c r="C691" s="29" t="str">
        <f>IF(B691=0,"EMPTY",Setup!$D$11*((PI()*2*Setup!$B$22*A691*B691)/33000))</f>
        <v>EMPTY</v>
      </c>
      <c r="D691" s="30" t="str">
        <f>IF(Setup!$H$2=0,"EMPTY",IF(B691=0,"EMPTY",B691*Setup!$B$22*Setup!$G$6*Setup!$D$11))</f>
        <v>EMPTY</v>
      </c>
      <c r="E691" s="31">
        <f>IF(Setup!$H$2=0,-1,IF(A691=0,-1,A691*1/(Setup!$G$6)))</f>
        <v>-1</v>
      </c>
      <c r="F691" s="31"/>
    </row>
    <row r="692" spans="1:6" ht="15.75" x14ac:dyDescent="0.25">
      <c r="A692"/>
      <c r="B692"/>
      <c r="C692" s="29" t="str">
        <f>IF(B692=0,"EMPTY",Setup!$D$11*((PI()*2*Setup!$B$22*A692*B692)/33000))</f>
        <v>EMPTY</v>
      </c>
      <c r="D692" s="30" t="str">
        <f>IF(Setup!$H$2=0,"EMPTY",IF(B692=0,"EMPTY",B692*Setup!$B$22*Setup!$G$6*Setup!$D$11))</f>
        <v>EMPTY</v>
      </c>
      <c r="E692" s="31">
        <f>IF(Setup!$H$2=0,-1,IF(A692=0,-1,A692*1/(Setup!$G$6)))</f>
        <v>-1</v>
      </c>
      <c r="F692" s="31"/>
    </row>
    <row r="693" spans="1:6" ht="15.75" x14ac:dyDescent="0.25">
      <c r="A693"/>
      <c r="B693"/>
      <c r="C693" s="29" t="str">
        <f>IF(B693=0,"EMPTY",Setup!$D$11*((PI()*2*Setup!$B$22*A693*B693)/33000))</f>
        <v>EMPTY</v>
      </c>
      <c r="D693" s="30" t="str">
        <f>IF(Setup!$H$2=0,"EMPTY",IF(B693=0,"EMPTY",B693*Setup!$B$22*Setup!$G$6*Setup!$D$11))</f>
        <v>EMPTY</v>
      </c>
      <c r="E693" s="31">
        <f>IF(Setup!$H$2=0,-1,IF(A693=0,-1,A693*1/(Setup!$G$6)))</f>
        <v>-1</v>
      </c>
      <c r="F693" s="31"/>
    </row>
    <row r="694" spans="1:6" ht="15.75" x14ac:dyDescent="0.25">
      <c r="A694"/>
      <c r="B694"/>
      <c r="C694" s="29" t="str">
        <f>IF(B694=0,"EMPTY",Setup!$D$11*((PI()*2*Setup!$B$22*A694*B694)/33000))</f>
        <v>EMPTY</v>
      </c>
      <c r="D694" s="30" t="str">
        <f>IF(Setup!$H$2=0,"EMPTY",IF(B694=0,"EMPTY",B694*Setup!$B$22*Setup!$G$6*Setup!$D$11))</f>
        <v>EMPTY</v>
      </c>
      <c r="E694" s="31">
        <f>IF(Setup!$H$2=0,-1,IF(A694=0,-1,A694*1/(Setup!$G$6)))</f>
        <v>-1</v>
      </c>
      <c r="F694" s="31"/>
    </row>
    <row r="695" spans="1:6" ht="15.75" x14ac:dyDescent="0.25">
      <c r="A695"/>
      <c r="B695"/>
      <c r="C695" s="29" t="str">
        <f>IF(B695=0,"EMPTY",Setup!$D$11*((PI()*2*Setup!$B$22*A695*B695)/33000))</f>
        <v>EMPTY</v>
      </c>
      <c r="D695" s="30" t="str">
        <f>IF(Setup!$H$2=0,"EMPTY",IF(B695=0,"EMPTY",B695*Setup!$B$22*Setup!$G$6*Setup!$D$11))</f>
        <v>EMPTY</v>
      </c>
      <c r="E695" s="31">
        <f>IF(Setup!$H$2=0,-1,IF(A695=0,-1,A695*1/(Setup!$G$6)))</f>
        <v>-1</v>
      </c>
      <c r="F695" s="31"/>
    </row>
    <row r="696" spans="1:6" ht="15.75" x14ac:dyDescent="0.25">
      <c r="A696"/>
      <c r="B696"/>
      <c r="C696" s="29" t="str">
        <f>IF(B696=0,"EMPTY",Setup!$D$11*((PI()*2*Setup!$B$22*A696*B696)/33000))</f>
        <v>EMPTY</v>
      </c>
      <c r="D696" s="30" t="str">
        <f>IF(Setup!$H$2=0,"EMPTY",IF(B696=0,"EMPTY",B696*Setup!$B$22*Setup!$G$6*Setup!$D$11))</f>
        <v>EMPTY</v>
      </c>
      <c r="E696" s="31">
        <f>IF(Setup!$H$2=0,-1,IF(A696=0,-1,A696*1/(Setup!$G$6)))</f>
        <v>-1</v>
      </c>
      <c r="F696" s="31"/>
    </row>
    <row r="697" spans="1:6" ht="15.75" x14ac:dyDescent="0.25">
      <c r="A697"/>
      <c r="B697"/>
      <c r="C697" s="29" t="str">
        <f>IF(B697=0,"EMPTY",Setup!$D$11*((PI()*2*Setup!$B$22*A697*B697)/33000))</f>
        <v>EMPTY</v>
      </c>
      <c r="D697" s="30" t="str">
        <f>IF(Setup!$H$2=0,"EMPTY",IF(B697=0,"EMPTY",B697*Setup!$B$22*Setup!$G$6*Setup!$D$11))</f>
        <v>EMPTY</v>
      </c>
      <c r="E697" s="31">
        <f>IF(Setup!$H$2=0,-1,IF(A697=0,-1,A697*1/(Setup!$G$6)))</f>
        <v>-1</v>
      </c>
      <c r="F697" s="31"/>
    </row>
    <row r="698" spans="1:6" ht="15.75" x14ac:dyDescent="0.25">
      <c r="A698"/>
      <c r="B698"/>
      <c r="C698" s="29" t="str">
        <f>IF(B698=0,"EMPTY",Setup!$D$11*((PI()*2*Setup!$B$22*A698*B698)/33000))</f>
        <v>EMPTY</v>
      </c>
      <c r="D698" s="30" t="str">
        <f>IF(Setup!$H$2=0,"EMPTY",IF(B698=0,"EMPTY",B698*Setup!$B$22*Setup!$G$6*Setup!$D$11))</f>
        <v>EMPTY</v>
      </c>
      <c r="E698" s="31">
        <f>IF(Setup!$H$2=0,-1,IF(A698=0,-1,A698*1/(Setup!$G$6)))</f>
        <v>-1</v>
      </c>
      <c r="F698" s="31"/>
    </row>
    <row r="699" spans="1:6" ht="15.75" x14ac:dyDescent="0.25">
      <c r="A699"/>
      <c r="B699"/>
      <c r="C699" s="29" t="str">
        <f>IF(B699=0,"EMPTY",Setup!$D$11*((PI()*2*Setup!$B$22*A699*B699)/33000))</f>
        <v>EMPTY</v>
      </c>
      <c r="D699" s="30" t="str">
        <f>IF(Setup!$H$2=0,"EMPTY",IF(B699=0,"EMPTY",B699*Setup!$B$22*Setup!$G$6*Setup!$D$11))</f>
        <v>EMPTY</v>
      </c>
      <c r="E699" s="31">
        <f>IF(Setup!$H$2=0,-1,IF(A699=0,-1,A699*1/(Setup!$G$6)))</f>
        <v>-1</v>
      </c>
      <c r="F699" s="31"/>
    </row>
    <row r="700" spans="1:6" ht="15.75" x14ac:dyDescent="0.25">
      <c r="A700"/>
      <c r="B700"/>
      <c r="C700" s="29" t="str">
        <f>IF(B700=0,"EMPTY",Setup!$D$11*((PI()*2*Setup!$B$22*A700*B700)/33000))</f>
        <v>EMPTY</v>
      </c>
      <c r="D700" s="30" t="str">
        <f>IF(Setup!$H$2=0,"EMPTY",IF(B700=0,"EMPTY",B700*Setup!$B$22*Setup!$G$6*Setup!$D$11))</f>
        <v>EMPTY</v>
      </c>
      <c r="E700" s="31">
        <f>IF(Setup!$H$2=0,-1,IF(A700=0,-1,A700*1/(Setup!$G$6)))</f>
        <v>-1</v>
      </c>
      <c r="F700" s="31"/>
    </row>
    <row r="701" spans="1:6" ht="15.75" x14ac:dyDescent="0.25">
      <c r="A701"/>
      <c r="B701"/>
      <c r="C701" s="29" t="str">
        <f>IF(B701=0,"EMPTY",Setup!$D$11*((PI()*2*Setup!$B$22*A701*B701)/33000))</f>
        <v>EMPTY</v>
      </c>
      <c r="D701" s="30" t="str">
        <f>IF(Setup!$H$2=0,"EMPTY",IF(B701=0,"EMPTY",B701*Setup!$B$22*Setup!$G$6*Setup!$D$11))</f>
        <v>EMPTY</v>
      </c>
      <c r="E701" s="31">
        <f>IF(Setup!$H$2=0,-1,IF(A701=0,-1,A701*1/(Setup!$G$6)))</f>
        <v>-1</v>
      </c>
      <c r="F701" s="31"/>
    </row>
    <row r="702" spans="1:6" ht="15.75" x14ac:dyDescent="0.25">
      <c r="A702"/>
      <c r="B702"/>
      <c r="C702" s="29" t="str">
        <f>IF(B702=0,"EMPTY",Setup!$D$11*((PI()*2*Setup!$B$22*A702*B702)/33000))</f>
        <v>EMPTY</v>
      </c>
      <c r="D702" s="30" t="str">
        <f>IF(Setup!$H$2=0,"EMPTY",IF(B702=0,"EMPTY",B702*Setup!$B$22*Setup!$G$6*Setup!$D$11))</f>
        <v>EMPTY</v>
      </c>
      <c r="E702" s="31">
        <f>IF(Setup!$H$2=0,-1,IF(A702=0,-1,A702*1/(Setup!$G$6)))</f>
        <v>-1</v>
      </c>
      <c r="F702" s="31"/>
    </row>
    <row r="703" spans="1:6" ht="15.75" x14ac:dyDescent="0.25">
      <c r="A703"/>
      <c r="B703"/>
      <c r="C703" s="29" t="str">
        <f>IF(B703=0,"EMPTY",Setup!$D$11*((PI()*2*Setup!$B$22*A703*B703)/33000))</f>
        <v>EMPTY</v>
      </c>
      <c r="D703" s="30" t="str">
        <f>IF(Setup!$H$2=0,"EMPTY",IF(B703=0,"EMPTY",B703*Setup!$B$22*Setup!$G$6*Setup!$D$11))</f>
        <v>EMPTY</v>
      </c>
      <c r="E703" s="31">
        <f>IF(Setup!$H$2=0,-1,IF(A703=0,-1,A703*1/(Setup!$G$6)))</f>
        <v>-1</v>
      </c>
      <c r="F703" s="31"/>
    </row>
    <row r="704" spans="1:6" ht="15.75" x14ac:dyDescent="0.25">
      <c r="A704"/>
      <c r="B704"/>
      <c r="C704" s="29" t="str">
        <f>IF(B704=0,"EMPTY",Setup!$D$11*((PI()*2*Setup!$B$22*A704*B704)/33000))</f>
        <v>EMPTY</v>
      </c>
      <c r="D704" s="30" t="str">
        <f>IF(Setup!$H$2=0,"EMPTY",IF(B704=0,"EMPTY",B704*Setup!$B$22*Setup!$G$6*Setup!$D$11))</f>
        <v>EMPTY</v>
      </c>
      <c r="E704" s="31">
        <f>IF(Setup!$H$2=0,-1,IF(A704=0,-1,A704*1/(Setup!$G$6)))</f>
        <v>-1</v>
      </c>
      <c r="F704" s="31"/>
    </row>
    <row r="705" spans="1:6" ht="15.75" x14ac:dyDescent="0.25">
      <c r="A705"/>
      <c r="B705"/>
      <c r="C705" s="29" t="str">
        <f>IF(B705=0,"EMPTY",Setup!$D$11*((PI()*2*Setup!$B$22*A705*B705)/33000))</f>
        <v>EMPTY</v>
      </c>
      <c r="D705" s="30" t="str">
        <f>IF(Setup!$H$2=0,"EMPTY",IF(B705=0,"EMPTY",B705*Setup!$B$22*Setup!$G$6*Setup!$D$11))</f>
        <v>EMPTY</v>
      </c>
      <c r="E705" s="31">
        <f>IF(Setup!$H$2=0,-1,IF(A705=0,-1,A705*1/(Setup!$G$6)))</f>
        <v>-1</v>
      </c>
      <c r="F705" s="31"/>
    </row>
    <row r="706" spans="1:6" ht="15.75" x14ac:dyDescent="0.25">
      <c r="A706"/>
      <c r="B706"/>
      <c r="C706" s="29" t="str">
        <f>IF(B706=0,"EMPTY",Setup!$D$11*((PI()*2*Setup!$B$22*A706*B706)/33000))</f>
        <v>EMPTY</v>
      </c>
      <c r="D706" s="30" t="str">
        <f>IF(Setup!$H$2=0,"EMPTY",IF(B706=0,"EMPTY",B706*Setup!$B$22*Setup!$G$6*Setup!$D$11))</f>
        <v>EMPTY</v>
      </c>
      <c r="E706" s="31">
        <f>IF(Setup!$H$2=0,-1,IF(A706=0,-1,A706*1/(Setup!$G$6)))</f>
        <v>-1</v>
      </c>
      <c r="F706" s="31"/>
    </row>
    <row r="707" spans="1:6" ht="15.75" x14ac:dyDescent="0.25">
      <c r="A707"/>
      <c r="B707"/>
      <c r="C707" s="29" t="str">
        <f>IF(B707=0,"EMPTY",Setup!$D$11*((PI()*2*Setup!$B$22*A707*B707)/33000))</f>
        <v>EMPTY</v>
      </c>
      <c r="D707" s="30" t="str">
        <f>IF(Setup!$H$2=0,"EMPTY",IF(B707=0,"EMPTY",B707*Setup!$B$22*Setup!$G$6*Setup!$D$11))</f>
        <v>EMPTY</v>
      </c>
      <c r="E707" s="31">
        <f>IF(Setup!$H$2=0,-1,IF(A707=0,-1,A707*1/(Setup!$G$6)))</f>
        <v>-1</v>
      </c>
      <c r="F707" s="31"/>
    </row>
    <row r="708" spans="1:6" ht="15.75" x14ac:dyDescent="0.25">
      <c r="A708"/>
      <c r="B708"/>
      <c r="C708" s="29" t="str">
        <f>IF(B708=0,"EMPTY",Setup!$D$11*((PI()*2*Setup!$B$22*A708*B708)/33000))</f>
        <v>EMPTY</v>
      </c>
      <c r="D708" s="30" t="str">
        <f>IF(Setup!$H$2=0,"EMPTY",IF(B708=0,"EMPTY",B708*Setup!$B$22*Setup!$G$6*Setup!$D$11))</f>
        <v>EMPTY</v>
      </c>
      <c r="E708" s="31">
        <f>IF(Setup!$H$2=0,-1,IF(A708=0,-1,A708*1/(Setup!$G$6)))</f>
        <v>-1</v>
      </c>
      <c r="F708" s="31"/>
    </row>
    <row r="709" spans="1:6" ht="15.75" x14ac:dyDescent="0.25">
      <c r="A709"/>
      <c r="B709"/>
      <c r="C709" s="29" t="str">
        <f>IF(B709=0,"EMPTY",Setup!$D$11*((PI()*2*Setup!$B$22*A709*B709)/33000))</f>
        <v>EMPTY</v>
      </c>
      <c r="D709" s="30" t="str">
        <f>IF(Setup!$H$2=0,"EMPTY",IF(B709=0,"EMPTY",B709*Setup!$B$22*Setup!$G$6*Setup!$D$11))</f>
        <v>EMPTY</v>
      </c>
      <c r="E709" s="31">
        <f>IF(Setup!$H$2=0,-1,IF(A709=0,-1,A709*1/(Setup!$G$6)))</f>
        <v>-1</v>
      </c>
      <c r="F709" s="31"/>
    </row>
    <row r="710" spans="1:6" ht="15.75" x14ac:dyDescent="0.25">
      <c r="A710"/>
      <c r="B710"/>
      <c r="C710" s="29" t="str">
        <f>IF(B710=0,"EMPTY",Setup!$D$11*((PI()*2*Setup!$B$22*A710*B710)/33000))</f>
        <v>EMPTY</v>
      </c>
      <c r="D710" s="30" t="str">
        <f>IF(Setup!$H$2=0,"EMPTY",IF(B710=0,"EMPTY",B710*Setup!$B$22*Setup!$G$6*Setup!$D$11))</f>
        <v>EMPTY</v>
      </c>
      <c r="E710" s="31">
        <f>IF(Setup!$H$2=0,-1,IF(A710=0,-1,A710*1/(Setup!$G$6)))</f>
        <v>-1</v>
      </c>
      <c r="F710" s="31"/>
    </row>
    <row r="711" spans="1:6" ht="15.75" x14ac:dyDescent="0.25">
      <c r="A711"/>
      <c r="B711"/>
      <c r="C711" s="29" t="str">
        <f>IF(B711=0,"EMPTY",Setup!$D$11*((PI()*2*Setup!$B$22*A711*B711)/33000))</f>
        <v>EMPTY</v>
      </c>
      <c r="D711" s="30" t="str">
        <f>IF(Setup!$H$2=0,"EMPTY",IF(B711=0,"EMPTY",B711*Setup!$B$22*Setup!$G$6*Setup!$D$11))</f>
        <v>EMPTY</v>
      </c>
      <c r="E711" s="31">
        <f>IF(Setup!$H$2=0,-1,IF(A711=0,-1,A711*1/(Setup!$G$6)))</f>
        <v>-1</v>
      </c>
      <c r="F711" s="31"/>
    </row>
    <row r="712" spans="1:6" ht="15.75" x14ac:dyDescent="0.25">
      <c r="A712"/>
      <c r="B712"/>
      <c r="C712" s="29" t="str">
        <f>IF(B712=0,"EMPTY",Setup!$D$11*((PI()*2*Setup!$B$22*A712*B712)/33000))</f>
        <v>EMPTY</v>
      </c>
      <c r="D712" s="30" t="str">
        <f>IF(Setup!$H$2=0,"EMPTY",IF(B712=0,"EMPTY",B712*Setup!$B$22*Setup!$G$6*Setup!$D$11))</f>
        <v>EMPTY</v>
      </c>
      <c r="E712" s="31">
        <f>IF(Setup!$H$2=0,-1,IF(A712=0,-1,A712*1/(Setup!$G$6)))</f>
        <v>-1</v>
      </c>
      <c r="F712" s="31"/>
    </row>
    <row r="713" spans="1:6" ht="15.75" x14ac:dyDescent="0.25">
      <c r="A713"/>
      <c r="B713"/>
      <c r="C713" s="29" t="str">
        <f>IF(B713=0,"EMPTY",Setup!$D$11*((PI()*2*Setup!$B$22*A713*B713)/33000))</f>
        <v>EMPTY</v>
      </c>
      <c r="D713" s="30" t="str">
        <f>IF(Setup!$H$2=0,"EMPTY",IF(B713=0,"EMPTY",B713*Setup!$B$22*Setup!$G$6*Setup!$D$11))</f>
        <v>EMPTY</v>
      </c>
      <c r="E713" s="31">
        <f>IF(Setup!$H$2=0,-1,IF(A713=0,-1,A713*1/(Setup!$G$6)))</f>
        <v>-1</v>
      </c>
      <c r="F713" s="31"/>
    </row>
    <row r="714" spans="1:6" ht="15.75" x14ac:dyDescent="0.25">
      <c r="A714"/>
      <c r="B714"/>
      <c r="C714" s="29" t="str">
        <f>IF(B714=0,"EMPTY",Setup!$D$11*((PI()*2*Setup!$B$22*A714*B714)/33000))</f>
        <v>EMPTY</v>
      </c>
      <c r="D714" s="30" t="str">
        <f>IF(Setup!$H$2=0,"EMPTY",IF(B714=0,"EMPTY",B714*Setup!$B$22*Setup!$G$6*Setup!$D$11))</f>
        <v>EMPTY</v>
      </c>
      <c r="E714" s="31">
        <f>IF(Setup!$H$2=0,-1,IF(A714=0,-1,A714*1/(Setup!$G$6)))</f>
        <v>-1</v>
      </c>
      <c r="F714" s="31"/>
    </row>
    <row r="715" spans="1:6" ht="15.75" x14ac:dyDescent="0.25">
      <c r="A715"/>
      <c r="B715"/>
      <c r="C715" s="29" t="str">
        <f>IF(B715=0,"EMPTY",Setup!$D$11*((PI()*2*Setup!$B$22*A715*B715)/33000))</f>
        <v>EMPTY</v>
      </c>
      <c r="D715" s="30" t="str">
        <f>IF(Setup!$H$2=0,"EMPTY",IF(B715=0,"EMPTY",B715*Setup!$B$22*Setup!$G$6*Setup!$D$11))</f>
        <v>EMPTY</v>
      </c>
      <c r="E715" s="31">
        <f>IF(Setup!$H$2=0,-1,IF(A715=0,-1,A715*1/(Setup!$G$6)))</f>
        <v>-1</v>
      </c>
      <c r="F715" s="31"/>
    </row>
    <row r="716" spans="1:6" ht="15.75" x14ac:dyDescent="0.25">
      <c r="A716"/>
      <c r="B716"/>
      <c r="C716" s="29" t="str">
        <f>IF(B716=0,"EMPTY",Setup!$D$11*((PI()*2*Setup!$B$22*A716*B716)/33000))</f>
        <v>EMPTY</v>
      </c>
      <c r="D716" s="30" t="str">
        <f>IF(Setup!$H$2=0,"EMPTY",IF(B716=0,"EMPTY",B716*Setup!$B$22*Setup!$G$6*Setup!$D$11))</f>
        <v>EMPTY</v>
      </c>
      <c r="E716" s="31">
        <f>IF(Setup!$H$2=0,-1,IF(A716=0,-1,A716*1/(Setup!$G$6)))</f>
        <v>-1</v>
      </c>
      <c r="F716" s="31"/>
    </row>
    <row r="717" spans="1:6" ht="15.75" x14ac:dyDescent="0.25">
      <c r="A717"/>
      <c r="B717"/>
      <c r="C717" s="29" t="str">
        <f>IF(B717=0,"EMPTY",Setup!$D$11*((PI()*2*Setup!$B$22*A717*B717)/33000))</f>
        <v>EMPTY</v>
      </c>
      <c r="D717" s="30" t="str">
        <f>IF(Setup!$H$2=0,"EMPTY",IF(B717=0,"EMPTY",B717*Setup!$B$22*Setup!$G$6*Setup!$D$11))</f>
        <v>EMPTY</v>
      </c>
      <c r="E717" s="31">
        <f>IF(Setup!$H$2=0,-1,IF(A717=0,-1,A717*1/(Setup!$G$6)))</f>
        <v>-1</v>
      </c>
      <c r="F717" s="31"/>
    </row>
    <row r="718" spans="1:6" ht="15.75" x14ac:dyDescent="0.25">
      <c r="A718"/>
      <c r="B718"/>
      <c r="C718" s="29" t="str">
        <f>IF(B718=0,"EMPTY",Setup!$D$11*((PI()*2*Setup!$B$22*A718*B718)/33000))</f>
        <v>EMPTY</v>
      </c>
      <c r="D718" s="30" t="str">
        <f>IF(Setup!$H$2=0,"EMPTY",IF(B718=0,"EMPTY",B718*Setup!$B$22*Setup!$G$6*Setup!$D$11))</f>
        <v>EMPTY</v>
      </c>
      <c r="E718" s="31">
        <f>IF(Setup!$H$2=0,-1,IF(A718=0,-1,A718*1/(Setup!$G$6)))</f>
        <v>-1</v>
      </c>
      <c r="F718" s="31"/>
    </row>
    <row r="719" spans="1:6" ht="15.75" x14ac:dyDescent="0.25">
      <c r="A719"/>
      <c r="B719"/>
      <c r="C719" s="29" t="str">
        <f>IF(B719=0,"EMPTY",Setup!$D$11*((PI()*2*Setup!$B$22*A719*B719)/33000))</f>
        <v>EMPTY</v>
      </c>
      <c r="D719" s="30" t="str">
        <f>IF(Setup!$H$2=0,"EMPTY",IF(B719=0,"EMPTY",B719*Setup!$B$22*Setup!$G$6*Setup!$D$11))</f>
        <v>EMPTY</v>
      </c>
      <c r="E719" s="31">
        <f>IF(Setup!$H$2=0,-1,IF(A719=0,-1,A719*1/(Setup!$G$6)))</f>
        <v>-1</v>
      </c>
      <c r="F719" s="31"/>
    </row>
    <row r="720" spans="1:6" ht="15.75" x14ac:dyDescent="0.25">
      <c r="A720"/>
      <c r="B720"/>
      <c r="C720" s="29" t="str">
        <f>IF(B720=0,"EMPTY",Setup!$D$11*((PI()*2*Setup!$B$22*A720*B720)/33000))</f>
        <v>EMPTY</v>
      </c>
      <c r="D720" s="30" t="str">
        <f>IF(Setup!$H$2=0,"EMPTY",IF(B720=0,"EMPTY",B720*Setup!$B$22*Setup!$G$6*Setup!$D$11))</f>
        <v>EMPTY</v>
      </c>
      <c r="E720" s="31">
        <f>IF(Setup!$H$2=0,-1,IF(A720=0,-1,A720*1/(Setup!$G$6)))</f>
        <v>-1</v>
      </c>
      <c r="F720" s="31"/>
    </row>
    <row r="721" spans="1:6" ht="15.75" x14ac:dyDescent="0.25">
      <c r="A721"/>
      <c r="B721"/>
      <c r="C721" s="29" t="str">
        <f>IF(B721=0,"EMPTY",Setup!$D$11*((PI()*2*Setup!$B$22*A721*B721)/33000))</f>
        <v>EMPTY</v>
      </c>
      <c r="D721" s="30" t="str">
        <f>IF(Setup!$H$2=0,"EMPTY",IF(B721=0,"EMPTY",B721*Setup!$B$22*Setup!$G$6*Setup!$D$11))</f>
        <v>EMPTY</v>
      </c>
      <c r="E721" s="31">
        <f>IF(Setup!$H$2=0,-1,IF(A721=0,-1,A721*1/(Setup!$G$6)))</f>
        <v>-1</v>
      </c>
      <c r="F721" s="31"/>
    </row>
    <row r="722" spans="1:6" ht="15.75" x14ac:dyDescent="0.25">
      <c r="A722"/>
      <c r="B722"/>
      <c r="C722" s="29" t="str">
        <f>IF(B722=0,"EMPTY",Setup!$D$11*((PI()*2*Setup!$B$22*A722*B722)/33000))</f>
        <v>EMPTY</v>
      </c>
      <c r="D722" s="30" t="str">
        <f>IF(Setup!$H$2=0,"EMPTY",IF(B722=0,"EMPTY",B722*Setup!$B$22*Setup!$G$6*Setup!$D$11))</f>
        <v>EMPTY</v>
      </c>
      <c r="E722" s="31">
        <f>IF(Setup!$H$2=0,-1,IF(A722=0,-1,A722*1/(Setup!$G$6)))</f>
        <v>-1</v>
      </c>
      <c r="F722" s="31"/>
    </row>
    <row r="723" spans="1:6" ht="15.75" x14ac:dyDescent="0.25">
      <c r="A723"/>
      <c r="B723"/>
      <c r="C723" s="29" t="str">
        <f>IF(B723=0,"EMPTY",Setup!$D$11*((PI()*2*Setup!$B$22*A723*B723)/33000))</f>
        <v>EMPTY</v>
      </c>
      <c r="D723" s="30" t="str">
        <f>IF(Setup!$H$2=0,"EMPTY",IF(B723=0,"EMPTY",B723*Setup!$B$22*Setup!$G$6*Setup!$D$11))</f>
        <v>EMPTY</v>
      </c>
      <c r="E723" s="31">
        <f>IF(Setup!$H$2=0,-1,IF(A723=0,-1,A723*1/(Setup!$G$6)))</f>
        <v>-1</v>
      </c>
      <c r="F723" s="31"/>
    </row>
    <row r="724" spans="1:6" ht="15.75" x14ac:dyDescent="0.25">
      <c r="A724"/>
      <c r="B724"/>
      <c r="C724" s="29" t="str">
        <f>IF(B724=0,"EMPTY",Setup!$D$11*((PI()*2*Setup!$B$22*A724*B724)/33000))</f>
        <v>EMPTY</v>
      </c>
      <c r="D724" s="30" t="str">
        <f>IF(Setup!$H$2=0,"EMPTY",IF(B724=0,"EMPTY",B724*Setup!$B$22*Setup!$G$6*Setup!$D$11))</f>
        <v>EMPTY</v>
      </c>
      <c r="E724" s="31">
        <f>IF(Setup!$H$2=0,-1,IF(A724=0,-1,A724*1/(Setup!$G$6)))</f>
        <v>-1</v>
      </c>
      <c r="F724" s="31"/>
    </row>
    <row r="725" spans="1:6" ht="15.75" x14ac:dyDescent="0.25">
      <c r="A725"/>
      <c r="B725"/>
      <c r="C725" s="29" t="str">
        <f>IF(B725=0,"EMPTY",Setup!$D$11*((PI()*2*Setup!$B$22*A725*B725)/33000))</f>
        <v>EMPTY</v>
      </c>
      <c r="D725" s="30" t="str">
        <f>IF(Setup!$H$2=0,"EMPTY",IF(B725=0,"EMPTY",B725*Setup!$B$22*Setup!$G$6*Setup!$D$11))</f>
        <v>EMPTY</v>
      </c>
      <c r="E725" s="31">
        <f>IF(Setup!$H$2=0,-1,IF(A725=0,-1,A725*1/(Setup!$G$6)))</f>
        <v>-1</v>
      </c>
      <c r="F725" s="31"/>
    </row>
    <row r="726" spans="1:6" ht="15.75" x14ac:dyDescent="0.25">
      <c r="A726"/>
      <c r="B726"/>
      <c r="C726" s="29" t="str">
        <f>IF(B726=0,"EMPTY",Setup!$D$11*((PI()*2*Setup!$B$22*A726*B726)/33000))</f>
        <v>EMPTY</v>
      </c>
      <c r="D726" s="30" t="str">
        <f>IF(Setup!$H$2=0,"EMPTY",IF(B726=0,"EMPTY",B726*Setup!$B$22*Setup!$G$6*Setup!$D$11))</f>
        <v>EMPTY</v>
      </c>
      <c r="E726" s="31">
        <f>IF(Setup!$H$2=0,-1,IF(A726=0,-1,A726*1/(Setup!$G$6)))</f>
        <v>-1</v>
      </c>
      <c r="F726" s="31"/>
    </row>
    <row r="727" spans="1:6" ht="15.75" x14ac:dyDescent="0.25">
      <c r="A727"/>
      <c r="B727"/>
      <c r="C727" s="29" t="str">
        <f>IF(B727=0,"EMPTY",Setup!$D$11*((PI()*2*Setup!$B$22*A727*B727)/33000))</f>
        <v>EMPTY</v>
      </c>
      <c r="D727" s="30" t="str">
        <f>IF(Setup!$H$2=0,"EMPTY",IF(B727=0,"EMPTY",B727*Setup!$B$22*Setup!$G$6*Setup!$D$11))</f>
        <v>EMPTY</v>
      </c>
      <c r="E727" s="31">
        <f>IF(Setup!$H$2=0,-1,IF(A727=0,-1,A727*1/(Setup!$G$6)))</f>
        <v>-1</v>
      </c>
      <c r="F727" s="31"/>
    </row>
    <row r="728" spans="1:6" ht="15.75" x14ac:dyDescent="0.25">
      <c r="A728"/>
      <c r="B728"/>
      <c r="C728" s="29" t="str">
        <f>IF(B728=0,"EMPTY",Setup!$D$11*((PI()*2*Setup!$B$22*A728*B728)/33000))</f>
        <v>EMPTY</v>
      </c>
      <c r="D728" s="30" t="str">
        <f>IF(Setup!$H$2=0,"EMPTY",IF(B728=0,"EMPTY",B728*Setup!$B$22*Setup!$G$6*Setup!$D$11))</f>
        <v>EMPTY</v>
      </c>
      <c r="E728" s="31">
        <f>IF(Setup!$H$2=0,-1,IF(A728=0,-1,A728*1/(Setup!$G$6)))</f>
        <v>-1</v>
      </c>
      <c r="F728" s="31"/>
    </row>
    <row r="729" spans="1:6" ht="15.75" x14ac:dyDescent="0.25">
      <c r="A729"/>
      <c r="B729"/>
      <c r="C729" s="29" t="str">
        <f>IF(B729=0,"EMPTY",Setup!$D$11*((PI()*2*Setup!$B$22*A729*B729)/33000))</f>
        <v>EMPTY</v>
      </c>
      <c r="D729" s="30" t="str">
        <f>IF(Setup!$H$2=0,"EMPTY",IF(B729=0,"EMPTY",B729*Setup!$B$22*Setup!$G$6*Setup!$D$11))</f>
        <v>EMPTY</v>
      </c>
      <c r="E729" s="31">
        <f>IF(Setup!$H$2=0,-1,IF(A729=0,-1,A729*1/(Setup!$G$6)))</f>
        <v>-1</v>
      </c>
      <c r="F729" s="31"/>
    </row>
    <row r="730" spans="1:6" ht="15.75" x14ac:dyDescent="0.25">
      <c r="A730"/>
      <c r="B730"/>
      <c r="C730" s="29" t="str">
        <f>IF(B730=0,"EMPTY",Setup!$D$11*((PI()*2*Setup!$B$22*A730*B730)/33000))</f>
        <v>EMPTY</v>
      </c>
      <c r="D730" s="30" t="str">
        <f>IF(Setup!$H$2=0,"EMPTY",IF(B730=0,"EMPTY",B730*Setup!$B$22*Setup!$G$6*Setup!$D$11))</f>
        <v>EMPTY</v>
      </c>
      <c r="E730" s="31">
        <f>IF(Setup!$H$2=0,-1,IF(A730=0,-1,A730*1/(Setup!$G$6)))</f>
        <v>-1</v>
      </c>
      <c r="F730" s="31"/>
    </row>
    <row r="731" spans="1:6" ht="15.75" x14ac:dyDescent="0.25">
      <c r="A731"/>
      <c r="B731"/>
      <c r="C731" s="29" t="str">
        <f>IF(B731=0,"EMPTY",Setup!$D$11*((PI()*2*Setup!$B$22*A731*B731)/33000))</f>
        <v>EMPTY</v>
      </c>
      <c r="D731" s="30" t="str">
        <f>IF(Setup!$H$2=0,"EMPTY",IF(B731=0,"EMPTY",B731*Setup!$B$22*Setup!$G$6*Setup!$D$11))</f>
        <v>EMPTY</v>
      </c>
      <c r="E731" s="31">
        <f>IF(Setup!$H$2=0,-1,IF(A731=0,-1,A731*1/(Setup!$G$6)))</f>
        <v>-1</v>
      </c>
      <c r="F731" s="31"/>
    </row>
    <row r="732" spans="1:6" ht="15.75" x14ac:dyDescent="0.25">
      <c r="A732"/>
      <c r="B732"/>
      <c r="C732" s="29" t="str">
        <f>IF(B732=0,"EMPTY",Setup!$D$11*((PI()*2*Setup!$B$22*A732*B732)/33000))</f>
        <v>EMPTY</v>
      </c>
      <c r="D732" s="30" t="str">
        <f>IF(Setup!$H$2=0,"EMPTY",IF(B732=0,"EMPTY",B732*Setup!$B$22*Setup!$G$6*Setup!$D$11))</f>
        <v>EMPTY</v>
      </c>
      <c r="E732" s="31">
        <f>IF(Setup!$H$2=0,-1,IF(A732=0,-1,A732*1/(Setup!$G$6)))</f>
        <v>-1</v>
      </c>
      <c r="F732" s="31"/>
    </row>
    <row r="733" spans="1:6" ht="15.75" x14ac:dyDescent="0.25">
      <c r="A733"/>
      <c r="B733"/>
      <c r="C733" s="29" t="str">
        <f>IF(B733=0,"EMPTY",Setup!$D$11*((PI()*2*Setup!$B$22*A733*B733)/33000))</f>
        <v>EMPTY</v>
      </c>
      <c r="D733" s="30" t="str">
        <f>IF(Setup!$H$2=0,"EMPTY",IF(B733=0,"EMPTY",B733*Setup!$B$22*Setup!$G$6*Setup!$D$11))</f>
        <v>EMPTY</v>
      </c>
      <c r="E733" s="31">
        <f>IF(Setup!$H$2=0,-1,IF(A733=0,-1,A733*1/(Setup!$G$6)))</f>
        <v>-1</v>
      </c>
      <c r="F733" s="31"/>
    </row>
    <row r="734" spans="1:6" ht="15.75" x14ac:dyDescent="0.25">
      <c r="A734"/>
      <c r="B734"/>
      <c r="C734" s="29" t="str">
        <f>IF(B734=0,"EMPTY",Setup!$D$11*((PI()*2*Setup!$B$22*A734*B734)/33000))</f>
        <v>EMPTY</v>
      </c>
      <c r="D734" s="30" t="str">
        <f>IF(Setup!$H$2=0,"EMPTY",IF(B734=0,"EMPTY",B734*Setup!$B$22*Setup!$G$6*Setup!$D$11))</f>
        <v>EMPTY</v>
      </c>
      <c r="E734" s="31">
        <f>IF(Setup!$H$2=0,-1,IF(A734=0,-1,A734*1/(Setup!$G$6)))</f>
        <v>-1</v>
      </c>
      <c r="F734" s="31"/>
    </row>
    <row r="735" spans="1:6" ht="15.75" x14ac:dyDescent="0.25">
      <c r="A735"/>
      <c r="B735"/>
      <c r="C735" s="29" t="str">
        <f>IF(B735=0,"EMPTY",Setup!$D$11*((PI()*2*Setup!$B$22*A735*B735)/33000))</f>
        <v>EMPTY</v>
      </c>
      <c r="D735" s="30" t="str">
        <f>IF(Setup!$H$2=0,"EMPTY",IF(B735=0,"EMPTY",B735*Setup!$B$22*Setup!$G$6*Setup!$D$11))</f>
        <v>EMPTY</v>
      </c>
      <c r="E735" s="31">
        <f>IF(Setup!$H$2=0,-1,IF(A735=0,-1,A735*1/(Setup!$G$6)))</f>
        <v>-1</v>
      </c>
      <c r="F735" s="31"/>
    </row>
    <row r="736" spans="1:6" ht="15.75" x14ac:dyDescent="0.25">
      <c r="A736"/>
      <c r="B736"/>
      <c r="C736" s="29" t="str">
        <f>IF(B736=0,"EMPTY",Setup!$D$11*((PI()*2*Setup!$B$22*A736*B736)/33000))</f>
        <v>EMPTY</v>
      </c>
      <c r="D736" s="30" t="str">
        <f>IF(Setup!$H$2=0,"EMPTY",IF(B736=0,"EMPTY",B736*Setup!$B$22*Setup!$G$6*Setup!$D$11))</f>
        <v>EMPTY</v>
      </c>
      <c r="E736" s="31">
        <f>IF(Setup!$H$2=0,-1,IF(A736=0,-1,A736*1/(Setup!$G$6)))</f>
        <v>-1</v>
      </c>
      <c r="F736" s="31"/>
    </row>
    <row r="737" spans="1:6" ht="15.75" x14ac:dyDescent="0.25">
      <c r="A737"/>
      <c r="B737"/>
      <c r="C737" s="29" t="str">
        <f>IF(B737=0,"EMPTY",Setup!$D$11*((PI()*2*Setup!$B$22*A737*B737)/33000))</f>
        <v>EMPTY</v>
      </c>
      <c r="D737" s="30" t="str">
        <f>IF(Setup!$H$2=0,"EMPTY",IF(B737=0,"EMPTY",B737*Setup!$B$22*Setup!$G$6*Setup!$D$11))</f>
        <v>EMPTY</v>
      </c>
      <c r="E737" s="31">
        <f>IF(Setup!$H$2=0,-1,IF(A737=0,-1,A737*1/(Setup!$G$6)))</f>
        <v>-1</v>
      </c>
      <c r="F737" s="31"/>
    </row>
    <row r="738" spans="1:6" ht="15.75" x14ac:dyDescent="0.25">
      <c r="A738"/>
      <c r="B738"/>
      <c r="C738" s="29" t="str">
        <f>IF(B738=0,"EMPTY",Setup!$D$11*((PI()*2*Setup!$B$22*A738*B738)/33000))</f>
        <v>EMPTY</v>
      </c>
      <c r="D738" s="30" t="str">
        <f>IF(Setup!$H$2=0,"EMPTY",IF(B738=0,"EMPTY",B738*Setup!$B$22*Setup!$G$6*Setup!$D$11))</f>
        <v>EMPTY</v>
      </c>
      <c r="E738" s="31">
        <f>IF(Setup!$H$2=0,-1,IF(A738=0,-1,A738*1/(Setup!$G$6)))</f>
        <v>-1</v>
      </c>
      <c r="F738" s="31"/>
    </row>
    <row r="739" spans="1:6" ht="15.75" x14ac:dyDescent="0.25">
      <c r="A739"/>
      <c r="B739"/>
      <c r="C739" s="29" t="str">
        <f>IF(B739=0,"EMPTY",Setup!$D$11*((PI()*2*Setup!$B$22*A739*B739)/33000))</f>
        <v>EMPTY</v>
      </c>
      <c r="D739" s="30" t="str">
        <f>IF(Setup!$H$2=0,"EMPTY",IF(B739=0,"EMPTY",B739*Setup!$B$22*Setup!$G$6*Setup!$D$11))</f>
        <v>EMPTY</v>
      </c>
      <c r="E739" s="31">
        <f>IF(Setup!$H$2=0,-1,IF(A739=0,-1,A739*1/(Setup!$G$6)))</f>
        <v>-1</v>
      </c>
      <c r="F739" s="31"/>
    </row>
    <row r="740" spans="1:6" ht="15.75" x14ac:dyDescent="0.25">
      <c r="A740"/>
      <c r="B740"/>
      <c r="C740" s="29" t="str">
        <f>IF(B740=0,"EMPTY",Setup!$D$11*((PI()*2*Setup!$B$22*A740*B740)/33000))</f>
        <v>EMPTY</v>
      </c>
      <c r="D740" s="30" t="str">
        <f>IF(Setup!$H$2=0,"EMPTY",IF(B740=0,"EMPTY",B740*Setup!$B$22*Setup!$G$6*Setup!$D$11))</f>
        <v>EMPTY</v>
      </c>
      <c r="E740" s="31">
        <f>IF(Setup!$H$2=0,-1,IF(A740=0,-1,A740*1/(Setup!$G$6)))</f>
        <v>-1</v>
      </c>
      <c r="F740" s="31"/>
    </row>
    <row r="741" spans="1:6" ht="15.75" x14ac:dyDescent="0.25">
      <c r="A741"/>
      <c r="B741"/>
      <c r="C741" s="29" t="str">
        <f>IF(B741=0,"EMPTY",Setup!$D$11*((PI()*2*Setup!$B$22*A741*B741)/33000))</f>
        <v>EMPTY</v>
      </c>
      <c r="D741" s="30" t="str">
        <f>IF(Setup!$H$2=0,"EMPTY",IF(B741=0,"EMPTY",B741*Setup!$B$22*Setup!$G$6*Setup!$D$11))</f>
        <v>EMPTY</v>
      </c>
      <c r="E741" s="31">
        <f>IF(Setup!$H$2=0,-1,IF(A741=0,-1,A741*1/(Setup!$G$6)))</f>
        <v>-1</v>
      </c>
      <c r="F741" s="31"/>
    </row>
    <row r="742" spans="1:6" ht="15.75" x14ac:dyDescent="0.25">
      <c r="A742"/>
      <c r="B742"/>
      <c r="C742" s="29" t="str">
        <f>IF(B742=0,"EMPTY",Setup!$D$11*((PI()*2*Setup!$B$22*A742*B742)/33000))</f>
        <v>EMPTY</v>
      </c>
      <c r="D742" s="30" t="str">
        <f>IF(Setup!$H$2=0,"EMPTY",IF(B742=0,"EMPTY",B742*Setup!$B$22*Setup!$G$6*Setup!$D$11))</f>
        <v>EMPTY</v>
      </c>
      <c r="E742" s="31">
        <f>IF(Setup!$H$2=0,-1,IF(A742=0,-1,A742*1/(Setup!$G$6)))</f>
        <v>-1</v>
      </c>
      <c r="F742" s="31"/>
    </row>
    <row r="743" spans="1:6" ht="15.75" x14ac:dyDescent="0.25">
      <c r="A743"/>
      <c r="B743"/>
      <c r="C743" s="29" t="str">
        <f>IF(B743=0,"EMPTY",Setup!$D$11*((PI()*2*Setup!$B$22*A743*B743)/33000))</f>
        <v>EMPTY</v>
      </c>
      <c r="D743" s="30" t="str">
        <f>IF(Setup!$H$2=0,"EMPTY",IF(B743=0,"EMPTY",B743*Setup!$B$22*Setup!$G$6*Setup!$D$11))</f>
        <v>EMPTY</v>
      </c>
      <c r="E743" s="31">
        <f>IF(Setup!$H$2=0,-1,IF(A743=0,-1,A743*1/(Setup!$G$6)))</f>
        <v>-1</v>
      </c>
      <c r="F743" s="31"/>
    </row>
    <row r="744" spans="1:6" ht="15.75" x14ac:dyDescent="0.25">
      <c r="A744"/>
      <c r="B744"/>
      <c r="C744" s="29" t="str">
        <f>IF(B744=0,"EMPTY",Setup!$D$11*((PI()*2*Setup!$B$22*A744*B744)/33000))</f>
        <v>EMPTY</v>
      </c>
      <c r="D744" s="30" t="str">
        <f>IF(Setup!$H$2=0,"EMPTY",IF(B744=0,"EMPTY",B744*Setup!$B$22*Setup!$G$6*Setup!$D$11))</f>
        <v>EMPTY</v>
      </c>
      <c r="E744" s="31">
        <f>IF(Setup!$H$2=0,-1,IF(A744=0,-1,A744*1/(Setup!$G$6)))</f>
        <v>-1</v>
      </c>
      <c r="F744" s="31"/>
    </row>
    <row r="745" spans="1:6" ht="15.75" x14ac:dyDescent="0.25">
      <c r="A745"/>
      <c r="B745"/>
      <c r="C745" s="29" t="str">
        <f>IF(B745=0,"EMPTY",Setup!$D$11*((PI()*2*Setup!$B$22*A745*B745)/33000))</f>
        <v>EMPTY</v>
      </c>
      <c r="D745" s="30" t="str">
        <f>IF(Setup!$H$2=0,"EMPTY",IF(B745=0,"EMPTY",B745*Setup!$B$22*Setup!$G$6*Setup!$D$11))</f>
        <v>EMPTY</v>
      </c>
      <c r="E745" s="31">
        <f>IF(Setup!$H$2=0,-1,IF(A745=0,-1,A745*1/(Setup!$G$6)))</f>
        <v>-1</v>
      </c>
      <c r="F745" s="31"/>
    </row>
    <row r="746" spans="1:6" ht="15.75" x14ac:dyDescent="0.25">
      <c r="A746"/>
      <c r="B746"/>
      <c r="C746" s="29" t="str">
        <f>IF(B746=0,"EMPTY",Setup!$D$11*((PI()*2*Setup!$B$22*A746*B746)/33000))</f>
        <v>EMPTY</v>
      </c>
      <c r="D746" s="30" t="str">
        <f>IF(Setup!$H$2=0,"EMPTY",IF(B746=0,"EMPTY",B746*Setup!$B$22*Setup!$G$6*Setup!$D$11))</f>
        <v>EMPTY</v>
      </c>
      <c r="E746" s="31">
        <f>IF(Setup!$H$2=0,-1,IF(A746=0,-1,A746*1/(Setup!$G$6)))</f>
        <v>-1</v>
      </c>
      <c r="F746" s="31"/>
    </row>
    <row r="747" spans="1:6" ht="15.75" x14ac:dyDescent="0.25">
      <c r="A747"/>
      <c r="B747"/>
      <c r="C747" s="29" t="str">
        <f>IF(B747=0,"EMPTY",Setup!$D$11*((PI()*2*Setup!$B$22*A747*B747)/33000))</f>
        <v>EMPTY</v>
      </c>
      <c r="D747" s="30" t="str">
        <f>IF(Setup!$H$2=0,"EMPTY",IF(B747=0,"EMPTY",B747*Setup!$B$22*Setup!$G$6*Setup!$D$11))</f>
        <v>EMPTY</v>
      </c>
      <c r="E747" s="31">
        <f>IF(Setup!$H$2=0,-1,IF(A747=0,-1,A747*1/(Setup!$G$6)))</f>
        <v>-1</v>
      </c>
      <c r="F747" s="31"/>
    </row>
    <row r="748" spans="1:6" ht="15.75" x14ac:dyDescent="0.25">
      <c r="A748"/>
      <c r="B748"/>
      <c r="C748" s="29" t="str">
        <f>IF(B748=0,"EMPTY",Setup!$D$11*((PI()*2*Setup!$B$22*A748*B748)/33000))</f>
        <v>EMPTY</v>
      </c>
      <c r="D748" s="30" t="str">
        <f>IF(Setup!$H$2=0,"EMPTY",IF(B748=0,"EMPTY",B748*Setup!$B$22*Setup!$G$6*Setup!$D$11))</f>
        <v>EMPTY</v>
      </c>
      <c r="E748" s="31">
        <f>IF(Setup!$H$2=0,-1,IF(A748=0,-1,A748*1/(Setup!$G$6)))</f>
        <v>-1</v>
      </c>
      <c r="F748" s="31"/>
    </row>
    <row r="749" spans="1:6" ht="15.75" x14ac:dyDescent="0.25">
      <c r="A749"/>
      <c r="B749"/>
      <c r="C749" s="29" t="str">
        <f>IF(B749=0,"EMPTY",Setup!$D$11*((PI()*2*Setup!$B$22*A749*B749)/33000))</f>
        <v>EMPTY</v>
      </c>
      <c r="D749" s="30" t="str">
        <f>IF(Setup!$H$2=0,"EMPTY",IF(B749=0,"EMPTY",B749*Setup!$B$22*Setup!$G$6*Setup!$D$11))</f>
        <v>EMPTY</v>
      </c>
      <c r="E749" s="31">
        <f>IF(Setup!$H$2=0,-1,IF(A749=0,-1,A749*1/(Setup!$G$6)))</f>
        <v>-1</v>
      </c>
      <c r="F749" s="31"/>
    </row>
    <row r="750" spans="1:6" ht="15.75" x14ac:dyDescent="0.25">
      <c r="A750"/>
      <c r="B750"/>
      <c r="C750" s="29" t="str">
        <f>IF(B750=0,"EMPTY",Setup!$D$11*((PI()*2*Setup!$B$22*A750*B750)/33000))</f>
        <v>EMPTY</v>
      </c>
      <c r="D750" s="30" t="str">
        <f>IF(Setup!$H$2=0,"EMPTY",IF(B750=0,"EMPTY",B750*Setup!$B$22*Setup!$G$6*Setup!$D$11))</f>
        <v>EMPTY</v>
      </c>
      <c r="E750" s="31">
        <f>IF(Setup!$H$2=0,-1,IF(A750=0,-1,A750*1/(Setup!$G$6)))</f>
        <v>-1</v>
      </c>
      <c r="F750" s="31"/>
    </row>
    <row r="751" spans="1:6" ht="15.75" x14ac:dyDescent="0.25">
      <c r="A751"/>
      <c r="B751"/>
      <c r="C751" s="29" t="str">
        <f>IF(B751=0,"EMPTY",Setup!$D$11*((PI()*2*Setup!$B$22*A751*B751)/33000))</f>
        <v>EMPTY</v>
      </c>
      <c r="D751" s="30" t="str">
        <f>IF(Setup!$H$2=0,"EMPTY",IF(B751=0,"EMPTY",B751*Setup!$B$22*Setup!$G$6*Setup!$D$11))</f>
        <v>EMPTY</v>
      </c>
      <c r="E751" s="31">
        <f>IF(Setup!$H$2=0,-1,IF(A751=0,-1,A751*1/(Setup!$G$6)))</f>
        <v>-1</v>
      </c>
      <c r="F751" s="31"/>
    </row>
    <row r="752" spans="1:6" ht="15.75" x14ac:dyDescent="0.25">
      <c r="A752"/>
      <c r="B752"/>
      <c r="C752" s="29" t="str">
        <f>IF(B752=0,"EMPTY",Setup!$D$11*((PI()*2*Setup!$B$22*A752*B752)/33000))</f>
        <v>EMPTY</v>
      </c>
      <c r="D752" s="30" t="str">
        <f>IF(Setup!$H$2=0,"EMPTY",IF(B752=0,"EMPTY",B752*Setup!$B$22*Setup!$G$6*Setup!$D$11))</f>
        <v>EMPTY</v>
      </c>
      <c r="E752" s="31">
        <f>IF(Setup!$H$2=0,-1,IF(A752=0,-1,A752*1/(Setup!$G$6)))</f>
        <v>-1</v>
      </c>
      <c r="F752" s="31"/>
    </row>
    <row r="753" spans="1:6" ht="15.75" x14ac:dyDescent="0.25">
      <c r="A753"/>
      <c r="B753"/>
      <c r="C753" s="29" t="str">
        <f>IF(B753=0,"EMPTY",Setup!$D$11*((PI()*2*Setup!$B$22*A753*B753)/33000))</f>
        <v>EMPTY</v>
      </c>
      <c r="D753" s="30" t="str">
        <f>IF(Setup!$H$2=0,"EMPTY",IF(B753=0,"EMPTY",B753*Setup!$B$22*Setup!$G$6*Setup!$D$11))</f>
        <v>EMPTY</v>
      </c>
      <c r="E753" s="31">
        <f>IF(Setup!$H$2=0,-1,IF(A753=0,-1,A753*1/(Setup!$G$6)))</f>
        <v>-1</v>
      </c>
      <c r="F753" s="31"/>
    </row>
    <row r="754" spans="1:6" ht="15.75" x14ac:dyDescent="0.25">
      <c r="A754"/>
      <c r="B754"/>
      <c r="C754" s="29" t="str">
        <f>IF(B754=0,"EMPTY",Setup!$D$11*((PI()*2*Setup!$B$22*A754*B754)/33000))</f>
        <v>EMPTY</v>
      </c>
      <c r="D754" s="30" t="str">
        <f>IF(Setup!$H$2=0,"EMPTY",IF(B754=0,"EMPTY",B754*Setup!$B$22*Setup!$G$6*Setup!$D$11))</f>
        <v>EMPTY</v>
      </c>
      <c r="E754" s="31">
        <f>IF(Setup!$H$2=0,-1,IF(A754=0,-1,A754*1/(Setup!$G$6)))</f>
        <v>-1</v>
      </c>
      <c r="F754" s="31"/>
    </row>
    <row r="755" spans="1:6" ht="15.75" x14ac:dyDescent="0.25">
      <c r="A755"/>
      <c r="B755"/>
      <c r="C755" s="29" t="str">
        <f>IF(B755=0,"EMPTY",Setup!$D$11*((PI()*2*Setup!$B$22*A755*B755)/33000))</f>
        <v>EMPTY</v>
      </c>
      <c r="D755" s="30" t="str">
        <f>IF(Setup!$H$2=0,"EMPTY",IF(B755=0,"EMPTY",B755*Setup!$B$22*Setup!$G$6*Setup!$D$11))</f>
        <v>EMPTY</v>
      </c>
      <c r="E755" s="31">
        <f>IF(Setup!$H$2=0,-1,IF(A755=0,-1,A755*1/(Setup!$G$6)))</f>
        <v>-1</v>
      </c>
      <c r="F755" s="31"/>
    </row>
    <row r="756" spans="1:6" ht="15.75" x14ac:dyDescent="0.25">
      <c r="A756"/>
      <c r="B756"/>
      <c r="C756" s="29" t="str">
        <f>IF(B756=0,"EMPTY",Setup!$D$11*((PI()*2*Setup!$B$22*A756*B756)/33000))</f>
        <v>EMPTY</v>
      </c>
      <c r="D756" s="30" t="str">
        <f>IF(Setup!$H$2=0,"EMPTY",IF(B756=0,"EMPTY",B756*Setup!$B$22*Setup!$G$6*Setup!$D$11))</f>
        <v>EMPTY</v>
      </c>
      <c r="E756" s="31">
        <f>IF(Setup!$H$2=0,-1,IF(A756=0,-1,A756*1/(Setup!$G$6)))</f>
        <v>-1</v>
      </c>
      <c r="F756" s="31"/>
    </row>
    <row r="757" spans="1:6" ht="15.75" x14ac:dyDescent="0.25">
      <c r="A757"/>
      <c r="B757"/>
      <c r="C757" s="29" t="str">
        <f>IF(B757=0,"EMPTY",Setup!$D$11*((PI()*2*Setup!$B$22*A757*B757)/33000))</f>
        <v>EMPTY</v>
      </c>
      <c r="D757" s="30" t="str">
        <f>IF(Setup!$H$2=0,"EMPTY",IF(B757=0,"EMPTY",B757*Setup!$B$22*Setup!$G$6*Setup!$D$11))</f>
        <v>EMPTY</v>
      </c>
      <c r="E757" s="31">
        <f>IF(Setup!$H$2=0,-1,IF(A757=0,-1,A757*1/(Setup!$G$6)))</f>
        <v>-1</v>
      </c>
      <c r="F757" s="31"/>
    </row>
    <row r="758" spans="1:6" ht="15.75" x14ac:dyDescent="0.25">
      <c r="A758"/>
      <c r="B758"/>
      <c r="C758" s="29" t="str">
        <f>IF(B758=0,"EMPTY",Setup!$D$11*((PI()*2*Setup!$B$22*A758*B758)/33000))</f>
        <v>EMPTY</v>
      </c>
      <c r="D758" s="30" t="str">
        <f>IF(Setup!$H$2=0,"EMPTY",IF(B758=0,"EMPTY",B758*Setup!$B$22*Setup!$G$6*Setup!$D$11))</f>
        <v>EMPTY</v>
      </c>
      <c r="E758" s="31">
        <f>IF(Setup!$H$2=0,-1,IF(A758=0,-1,A758*1/(Setup!$G$6)))</f>
        <v>-1</v>
      </c>
      <c r="F758" s="31"/>
    </row>
    <row r="759" spans="1:6" ht="15.75" x14ac:dyDescent="0.25">
      <c r="A759"/>
      <c r="B759"/>
      <c r="C759" s="29" t="str">
        <f>IF(B759=0,"EMPTY",Setup!$D$11*((PI()*2*Setup!$B$22*A759*B759)/33000))</f>
        <v>EMPTY</v>
      </c>
      <c r="D759" s="30" t="str">
        <f>IF(Setup!$H$2=0,"EMPTY",IF(B759=0,"EMPTY",B759*Setup!$B$22*Setup!$G$6*Setup!$D$11))</f>
        <v>EMPTY</v>
      </c>
      <c r="E759" s="31">
        <f>IF(Setup!$H$2=0,-1,IF(A759=0,-1,A759*1/(Setup!$G$6)))</f>
        <v>-1</v>
      </c>
      <c r="F759" s="31"/>
    </row>
    <row r="760" spans="1:6" ht="15.75" x14ac:dyDescent="0.25">
      <c r="A760"/>
      <c r="B760"/>
      <c r="C760" s="29" t="str">
        <f>IF(B760=0,"EMPTY",Setup!$D$11*((PI()*2*Setup!$B$22*A760*B760)/33000))</f>
        <v>EMPTY</v>
      </c>
      <c r="D760" s="30" t="str">
        <f>IF(Setup!$H$2=0,"EMPTY",IF(B760=0,"EMPTY",B760*Setup!$B$22*Setup!$G$6*Setup!$D$11))</f>
        <v>EMPTY</v>
      </c>
      <c r="E760" s="31">
        <f>IF(Setup!$H$2=0,-1,IF(A760=0,-1,A760*1/(Setup!$G$6)))</f>
        <v>-1</v>
      </c>
      <c r="F760" s="31"/>
    </row>
    <row r="761" spans="1:6" ht="15.75" x14ac:dyDescent="0.25">
      <c r="A761"/>
      <c r="B761"/>
      <c r="C761" s="29" t="str">
        <f>IF(B761=0,"EMPTY",Setup!$D$11*((PI()*2*Setup!$B$22*A761*B761)/33000))</f>
        <v>EMPTY</v>
      </c>
      <c r="D761" s="30" t="str">
        <f>IF(Setup!$H$2=0,"EMPTY",IF(B761=0,"EMPTY",B761*Setup!$B$22*Setup!$G$6*Setup!$D$11))</f>
        <v>EMPTY</v>
      </c>
      <c r="E761" s="31">
        <f>IF(Setup!$H$2=0,-1,IF(A761=0,-1,A761*1/(Setup!$G$6)))</f>
        <v>-1</v>
      </c>
      <c r="F761" s="31"/>
    </row>
    <row r="762" spans="1:6" ht="15.75" x14ac:dyDescent="0.25">
      <c r="A762"/>
      <c r="B762"/>
      <c r="C762" s="29" t="str">
        <f>IF(B762=0,"EMPTY",Setup!$D$11*((PI()*2*Setup!$B$22*A762*B762)/33000))</f>
        <v>EMPTY</v>
      </c>
      <c r="D762" s="30" t="str">
        <f>IF(Setup!$H$2=0,"EMPTY",IF(B762=0,"EMPTY",B762*Setup!$B$22*Setup!$G$6*Setup!$D$11))</f>
        <v>EMPTY</v>
      </c>
      <c r="E762" s="31">
        <f>IF(Setup!$H$2=0,-1,IF(A762=0,-1,A762*1/(Setup!$G$6)))</f>
        <v>-1</v>
      </c>
      <c r="F762" s="31"/>
    </row>
    <row r="763" spans="1:6" ht="15.75" x14ac:dyDescent="0.25">
      <c r="A763"/>
      <c r="B763"/>
      <c r="C763" s="29" t="str">
        <f>IF(B763=0,"EMPTY",Setup!$D$11*((PI()*2*Setup!$B$22*A763*B763)/33000))</f>
        <v>EMPTY</v>
      </c>
      <c r="D763" s="30" t="str">
        <f>IF(Setup!$H$2=0,"EMPTY",IF(B763=0,"EMPTY",B763*Setup!$B$22*Setup!$G$6*Setup!$D$11))</f>
        <v>EMPTY</v>
      </c>
      <c r="E763" s="31">
        <f>IF(Setup!$H$2=0,-1,IF(A763=0,-1,A763*1/(Setup!$G$6)))</f>
        <v>-1</v>
      </c>
      <c r="F763" s="31"/>
    </row>
    <row r="764" spans="1:6" ht="15.75" x14ac:dyDescent="0.25">
      <c r="A764"/>
      <c r="B764"/>
      <c r="C764" s="29" t="str">
        <f>IF(B764=0,"EMPTY",Setup!$D$11*((PI()*2*Setup!$B$22*A764*B764)/33000))</f>
        <v>EMPTY</v>
      </c>
      <c r="D764" s="30" t="str">
        <f>IF(Setup!$H$2=0,"EMPTY",IF(B764=0,"EMPTY",B764*Setup!$B$22*Setup!$G$6*Setup!$D$11))</f>
        <v>EMPTY</v>
      </c>
      <c r="E764" s="31">
        <f>IF(Setup!$H$2=0,-1,IF(A764=0,-1,A764*1/(Setup!$G$6)))</f>
        <v>-1</v>
      </c>
      <c r="F764" s="31"/>
    </row>
    <row r="765" spans="1:6" ht="15.75" x14ac:dyDescent="0.25">
      <c r="A765"/>
      <c r="B765"/>
      <c r="C765" s="29" t="str">
        <f>IF(B765=0,"EMPTY",Setup!$D$11*((PI()*2*Setup!$B$22*A765*B765)/33000))</f>
        <v>EMPTY</v>
      </c>
      <c r="D765" s="30" t="str">
        <f>IF(Setup!$H$2=0,"EMPTY",IF(B765=0,"EMPTY",B765*Setup!$B$22*Setup!$G$6*Setup!$D$11))</f>
        <v>EMPTY</v>
      </c>
      <c r="E765" s="31">
        <f>IF(Setup!$H$2=0,-1,IF(A765=0,-1,A765*1/(Setup!$G$6)))</f>
        <v>-1</v>
      </c>
      <c r="F765" s="31"/>
    </row>
    <row r="766" spans="1:6" ht="15.75" x14ac:dyDescent="0.25">
      <c r="A766"/>
      <c r="B766"/>
      <c r="C766" s="29" t="str">
        <f>IF(B766=0,"EMPTY",Setup!$D$11*((PI()*2*Setup!$B$22*A766*B766)/33000))</f>
        <v>EMPTY</v>
      </c>
      <c r="D766" s="30" t="str">
        <f>IF(Setup!$H$2=0,"EMPTY",IF(B766=0,"EMPTY",B766*Setup!$B$22*Setup!$G$6*Setup!$D$11))</f>
        <v>EMPTY</v>
      </c>
      <c r="E766" s="31">
        <f>IF(Setup!$H$2=0,-1,IF(A766=0,-1,A766*1/(Setup!$G$6)))</f>
        <v>-1</v>
      </c>
      <c r="F766" s="31"/>
    </row>
    <row r="767" spans="1:6" ht="15.75" x14ac:dyDescent="0.25">
      <c r="A767"/>
      <c r="B767"/>
      <c r="C767" s="29" t="str">
        <f>IF(B767=0,"EMPTY",Setup!$D$11*((PI()*2*Setup!$B$22*A767*B767)/33000))</f>
        <v>EMPTY</v>
      </c>
      <c r="D767" s="30" t="str">
        <f>IF(Setup!$H$2=0,"EMPTY",IF(B767=0,"EMPTY",B767*Setup!$B$22*Setup!$G$6*Setup!$D$11))</f>
        <v>EMPTY</v>
      </c>
      <c r="E767" s="31">
        <f>IF(Setup!$H$2=0,-1,IF(A767=0,-1,A767*1/(Setup!$G$6)))</f>
        <v>-1</v>
      </c>
      <c r="F767" s="31"/>
    </row>
    <row r="768" spans="1:6" ht="15.75" x14ac:dyDescent="0.25">
      <c r="A768"/>
      <c r="B768"/>
      <c r="C768" s="29" t="str">
        <f>IF(B768=0,"EMPTY",Setup!$D$11*((PI()*2*Setup!$B$22*A768*B768)/33000))</f>
        <v>EMPTY</v>
      </c>
      <c r="D768" s="30" t="str">
        <f>IF(Setup!$H$2=0,"EMPTY",IF(B768=0,"EMPTY",B768*Setup!$B$22*Setup!$G$6*Setup!$D$11))</f>
        <v>EMPTY</v>
      </c>
      <c r="E768" s="31">
        <f>IF(Setup!$H$2=0,-1,IF(A768=0,-1,A768*1/(Setup!$G$6)))</f>
        <v>-1</v>
      </c>
      <c r="F768" s="31"/>
    </row>
    <row r="769" spans="1:6" ht="15.75" x14ac:dyDescent="0.25">
      <c r="A769"/>
      <c r="B769"/>
      <c r="C769" s="29" t="str">
        <f>IF(B769=0,"EMPTY",Setup!$D$11*((PI()*2*Setup!$B$22*A769*B769)/33000))</f>
        <v>EMPTY</v>
      </c>
      <c r="D769" s="30" t="str">
        <f>IF(Setup!$H$2=0,"EMPTY",IF(B769=0,"EMPTY",B769*Setup!$B$22*Setup!$G$6*Setup!$D$11))</f>
        <v>EMPTY</v>
      </c>
      <c r="E769" s="31">
        <f>IF(Setup!$H$2=0,-1,IF(A769=0,-1,A769*1/(Setup!$G$6)))</f>
        <v>-1</v>
      </c>
      <c r="F769" s="31"/>
    </row>
    <row r="770" spans="1:6" ht="15.75" x14ac:dyDescent="0.25">
      <c r="A770"/>
      <c r="B770"/>
      <c r="C770" s="29" t="str">
        <f>IF(B770=0,"EMPTY",Setup!$D$11*((PI()*2*Setup!$B$22*A770*B770)/33000))</f>
        <v>EMPTY</v>
      </c>
      <c r="D770" s="30" t="str">
        <f>IF(Setup!$H$2=0,"EMPTY",IF(B770=0,"EMPTY",B770*Setup!$B$22*Setup!$G$6*Setup!$D$11))</f>
        <v>EMPTY</v>
      </c>
      <c r="E770" s="31">
        <f>IF(Setup!$H$2=0,-1,IF(A770=0,-1,A770*1/(Setup!$G$6)))</f>
        <v>-1</v>
      </c>
      <c r="F770" s="31"/>
    </row>
    <row r="771" spans="1:6" ht="15.75" x14ac:dyDescent="0.25">
      <c r="A771"/>
      <c r="B771"/>
      <c r="C771" s="29" t="str">
        <f>IF(B771=0,"EMPTY",Setup!$D$11*((PI()*2*Setup!$B$22*A771*B771)/33000))</f>
        <v>EMPTY</v>
      </c>
      <c r="D771" s="30" t="str">
        <f>IF(Setup!$H$2=0,"EMPTY",IF(B771=0,"EMPTY",B771*Setup!$B$22*Setup!$G$6*Setup!$D$11))</f>
        <v>EMPTY</v>
      </c>
      <c r="E771" s="31">
        <f>IF(Setup!$H$2=0,-1,IF(A771=0,-1,A771*1/(Setup!$G$6)))</f>
        <v>-1</v>
      </c>
      <c r="F771" s="31"/>
    </row>
    <row r="772" spans="1:6" ht="15.75" x14ac:dyDescent="0.25">
      <c r="A772"/>
      <c r="B772"/>
      <c r="C772" s="29" t="str">
        <f>IF(B772=0,"EMPTY",Setup!$D$11*((PI()*2*Setup!$B$22*A772*B772)/33000))</f>
        <v>EMPTY</v>
      </c>
      <c r="D772" s="30" t="str">
        <f>IF(Setup!$H$2=0,"EMPTY",IF(B772=0,"EMPTY",B772*Setup!$B$22*Setup!$G$6*Setup!$D$11))</f>
        <v>EMPTY</v>
      </c>
      <c r="E772" s="31">
        <f>IF(Setup!$H$2=0,-1,IF(A772=0,-1,A772*1/(Setup!$G$6)))</f>
        <v>-1</v>
      </c>
      <c r="F772" s="31"/>
    </row>
    <row r="773" spans="1:6" ht="15.75" x14ac:dyDescent="0.25">
      <c r="A773"/>
      <c r="B773"/>
      <c r="C773" s="29" t="str">
        <f>IF(B773=0,"EMPTY",Setup!$D$11*((PI()*2*Setup!$B$22*A773*B773)/33000))</f>
        <v>EMPTY</v>
      </c>
      <c r="D773" s="30" t="str">
        <f>IF(Setup!$H$2=0,"EMPTY",IF(B773=0,"EMPTY",B773*Setup!$B$22*Setup!$G$6*Setup!$D$11))</f>
        <v>EMPTY</v>
      </c>
      <c r="E773" s="31">
        <f>IF(Setup!$H$2=0,-1,IF(A773=0,-1,A773*1/(Setup!$G$6)))</f>
        <v>-1</v>
      </c>
      <c r="F773" s="31"/>
    </row>
    <row r="774" spans="1:6" ht="15.75" x14ac:dyDescent="0.25">
      <c r="A774"/>
      <c r="B774"/>
      <c r="C774" s="29" t="str">
        <f>IF(B774=0,"EMPTY",Setup!$D$11*((PI()*2*Setup!$B$22*A774*B774)/33000))</f>
        <v>EMPTY</v>
      </c>
      <c r="D774" s="30" t="str">
        <f>IF(Setup!$H$2=0,"EMPTY",IF(B774=0,"EMPTY",B774*Setup!$B$22*Setup!$G$6*Setup!$D$11))</f>
        <v>EMPTY</v>
      </c>
      <c r="E774" s="31">
        <f>IF(Setup!$H$2=0,-1,IF(A774=0,-1,A774*1/(Setup!$G$6)))</f>
        <v>-1</v>
      </c>
      <c r="F774" s="31"/>
    </row>
    <row r="775" spans="1:6" ht="15.75" x14ac:dyDescent="0.25">
      <c r="A775"/>
      <c r="B775"/>
      <c r="C775" s="29" t="str">
        <f>IF(B775=0,"EMPTY",Setup!$D$11*((PI()*2*Setup!$B$22*A775*B775)/33000))</f>
        <v>EMPTY</v>
      </c>
      <c r="D775" s="30" t="str">
        <f>IF(Setup!$H$2=0,"EMPTY",IF(B775=0,"EMPTY",B775*Setup!$B$22*Setup!$G$6*Setup!$D$11))</f>
        <v>EMPTY</v>
      </c>
      <c r="E775" s="31">
        <f>IF(Setup!$H$2=0,-1,IF(A775=0,-1,A775*1/(Setup!$G$6)))</f>
        <v>-1</v>
      </c>
      <c r="F775" s="31"/>
    </row>
    <row r="776" spans="1:6" ht="15.75" x14ac:dyDescent="0.25">
      <c r="A776"/>
      <c r="B776"/>
      <c r="C776" s="29" t="str">
        <f>IF(B776=0,"EMPTY",Setup!$D$11*((PI()*2*Setup!$B$22*A776*B776)/33000))</f>
        <v>EMPTY</v>
      </c>
      <c r="D776" s="30" t="str">
        <f>IF(Setup!$H$2=0,"EMPTY",IF(B776=0,"EMPTY",B776*Setup!$B$22*Setup!$G$6*Setup!$D$11))</f>
        <v>EMPTY</v>
      </c>
      <c r="E776" s="31">
        <f>IF(Setup!$H$2=0,-1,IF(A776=0,-1,A776*1/(Setup!$G$6)))</f>
        <v>-1</v>
      </c>
      <c r="F776" s="31"/>
    </row>
    <row r="777" spans="1:6" ht="15.75" x14ac:dyDescent="0.25">
      <c r="A777"/>
      <c r="B777"/>
      <c r="C777" s="29" t="str">
        <f>IF(B777=0,"EMPTY",Setup!$D$11*((PI()*2*Setup!$B$22*A777*B777)/33000))</f>
        <v>EMPTY</v>
      </c>
      <c r="D777" s="30" t="str">
        <f>IF(Setup!$H$2=0,"EMPTY",IF(B777=0,"EMPTY",B777*Setup!$B$22*Setup!$G$6*Setup!$D$11))</f>
        <v>EMPTY</v>
      </c>
      <c r="E777" s="31">
        <f>IF(Setup!$H$2=0,-1,IF(A777=0,-1,A777*1/(Setup!$G$6)))</f>
        <v>-1</v>
      </c>
      <c r="F777" s="31"/>
    </row>
    <row r="778" spans="1:6" ht="15.75" x14ac:dyDescent="0.25">
      <c r="A778"/>
      <c r="B778"/>
      <c r="C778" s="29" t="str">
        <f>IF(B778=0,"EMPTY",Setup!$D$11*((PI()*2*Setup!$B$22*A778*B778)/33000))</f>
        <v>EMPTY</v>
      </c>
      <c r="D778" s="30" t="str">
        <f>IF(Setup!$H$2=0,"EMPTY",IF(B778=0,"EMPTY",B778*Setup!$B$22*Setup!$G$6*Setup!$D$11))</f>
        <v>EMPTY</v>
      </c>
      <c r="E778" s="31">
        <f>IF(Setup!$H$2=0,-1,IF(A778=0,-1,A778*1/(Setup!$G$6)))</f>
        <v>-1</v>
      </c>
      <c r="F778" s="31"/>
    </row>
    <row r="779" spans="1:6" ht="15.75" x14ac:dyDescent="0.25">
      <c r="A779"/>
      <c r="B779"/>
      <c r="C779" s="29" t="str">
        <f>IF(B779=0,"EMPTY",Setup!$D$11*((PI()*2*Setup!$B$22*A779*B779)/33000))</f>
        <v>EMPTY</v>
      </c>
      <c r="D779" s="30" t="str">
        <f>IF(Setup!$H$2=0,"EMPTY",IF(B779=0,"EMPTY",B779*Setup!$B$22*Setup!$G$6*Setup!$D$11))</f>
        <v>EMPTY</v>
      </c>
      <c r="E779" s="31">
        <f>IF(Setup!$H$2=0,-1,IF(A779=0,-1,A779*1/(Setup!$G$6)))</f>
        <v>-1</v>
      </c>
      <c r="F779" s="31"/>
    </row>
    <row r="780" spans="1:6" ht="15.75" x14ac:dyDescent="0.25">
      <c r="A780"/>
      <c r="B780"/>
      <c r="C780" s="29" t="str">
        <f>IF(B780=0,"EMPTY",Setup!$D$11*((PI()*2*Setup!$B$22*A780*B780)/33000))</f>
        <v>EMPTY</v>
      </c>
      <c r="D780" s="30" t="str">
        <f>IF(Setup!$H$2=0,"EMPTY",IF(B780=0,"EMPTY",B780*Setup!$B$22*Setup!$G$6*Setup!$D$11))</f>
        <v>EMPTY</v>
      </c>
      <c r="E780" s="31">
        <f>IF(Setup!$H$2=0,-1,IF(A780=0,-1,A780*1/(Setup!$G$6)))</f>
        <v>-1</v>
      </c>
      <c r="F780" s="31"/>
    </row>
    <row r="781" spans="1:6" ht="15.75" x14ac:dyDescent="0.25">
      <c r="A781"/>
      <c r="B781"/>
      <c r="C781" s="29" t="str">
        <f>IF(B781=0,"EMPTY",Setup!$D$11*((PI()*2*Setup!$B$22*A781*B781)/33000))</f>
        <v>EMPTY</v>
      </c>
      <c r="D781" s="30" t="str">
        <f>IF(Setup!$H$2=0,"EMPTY",IF(B781=0,"EMPTY",B781*Setup!$B$22*Setup!$G$6*Setup!$D$11))</f>
        <v>EMPTY</v>
      </c>
      <c r="E781" s="31">
        <f>IF(Setup!$H$2=0,-1,IF(A781=0,-1,A781*1/(Setup!$G$6)))</f>
        <v>-1</v>
      </c>
      <c r="F781" s="31"/>
    </row>
    <row r="782" spans="1:6" ht="15.75" x14ac:dyDescent="0.25">
      <c r="A782"/>
      <c r="B782"/>
      <c r="C782" s="29" t="str">
        <f>IF(B782=0,"EMPTY",Setup!$D$11*((PI()*2*Setup!$B$22*A782*B782)/33000))</f>
        <v>EMPTY</v>
      </c>
      <c r="D782" s="30" t="str">
        <f>IF(Setup!$H$2=0,"EMPTY",IF(B782=0,"EMPTY",B782*Setup!$B$22*Setup!$G$6*Setup!$D$11))</f>
        <v>EMPTY</v>
      </c>
      <c r="E782" s="31">
        <f>IF(Setup!$H$2=0,-1,IF(A782=0,-1,A782*1/(Setup!$G$6)))</f>
        <v>-1</v>
      </c>
      <c r="F782" s="31"/>
    </row>
    <row r="783" spans="1:6" ht="15.75" x14ac:dyDescent="0.25">
      <c r="A783"/>
      <c r="B783"/>
      <c r="C783" s="29" t="str">
        <f>IF(B783=0,"EMPTY",Setup!$D$11*((PI()*2*Setup!$B$22*A783*B783)/33000))</f>
        <v>EMPTY</v>
      </c>
      <c r="D783" s="30" t="str">
        <f>IF(Setup!$H$2=0,"EMPTY",IF(B783=0,"EMPTY",B783*Setup!$B$22*Setup!$G$6*Setup!$D$11))</f>
        <v>EMPTY</v>
      </c>
      <c r="E783" s="31">
        <f>IF(Setup!$H$2=0,-1,IF(A783=0,-1,A783*1/(Setup!$G$6)))</f>
        <v>-1</v>
      </c>
      <c r="F783" s="31"/>
    </row>
    <row r="784" spans="1:6" ht="15.75" x14ac:dyDescent="0.25">
      <c r="A784"/>
      <c r="B784"/>
      <c r="C784" s="29" t="str">
        <f>IF(B784=0,"EMPTY",Setup!$D$11*((PI()*2*Setup!$B$22*A784*B784)/33000))</f>
        <v>EMPTY</v>
      </c>
      <c r="D784" s="30" t="str">
        <f>IF(Setup!$H$2=0,"EMPTY",IF(B784=0,"EMPTY",B784*Setup!$B$22*Setup!$G$6*Setup!$D$11))</f>
        <v>EMPTY</v>
      </c>
      <c r="E784" s="31">
        <f>IF(Setup!$H$2=0,-1,IF(A784=0,-1,A784*1/(Setup!$G$6)))</f>
        <v>-1</v>
      </c>
      <c r="F784" s="31"/>
    </row>
    <row r="785" spans="1:6" ht="15.75" x14ac:dyDescent="0.25">
      <c r="A785"/>
      <c r="B785"/>
      <c r="C785" s="29" t="str">
        <f>IF(B785=0,"EMPTY",Setup!$D$11*((PI()*2*Setup!$B$22*A785*B785)/33000))</f>
        <v>EMPTY</v>
      </c>
      <c r="D785" s="30" t="str">
        <f>IF(Setup!$H$2=0,"EMPTY",IF(B785=0,"EMPTY",B785*Setup!$B$22*Setup!$G$6*Setup!$D$11))</f>
        <v>EMPTY</v>
      </c>
      <c r="E785" s="31">
        <f>IF(Setup!$H$2=0,-1,IF(A785=0,-1,A785*1/(Setup!$G$6)))</f>
        <v>-1</v>
      </c>
      <c r="F785" s="31"/>
    </row>
    <row r="786" spans="1:6" ht="15.75" x14ac:dyDescent="0.25">
      <c r="A786"/>
      <c r="B786"/>
      <c r="C786" s="29" t="str">
        <f>IF(B786=0,"EMPTY",Setup!$D$11*((PI()*2*Setup!$B$22*A786*B786)/33000))</f>
        <v>EMPTY</v>
      </c>
      <c r="D786" s="30" t="str">
        <f>IF(Setup!$H$2=0,"EMPTY",IF(B786=0,"EMPTY",B786*Setup!$B$22*Setup!$G$6*Setup!$D$11))</f>
        <v>EMPTY</v>
      </c>
      <c r="E786" s="31">
        <f>IF(Setup!$H$2=0,-1,IF(A786=0,-1,A786*1/(Setup!$G$6)))</f>
        <v>-1</v>
      </c>
      <c r="F786" s="31"/>
    </row>
    <row r="787" spans="1:6" ht="15.75" x14ac:dyDescent="0.25">
      <c r="A787"/>
      <c r="B787"/>
      <c r="C787" s="29" t="str">
        <f>IF(B787=0,"EMPTY",Setup!$D$11*((PI()*2*Setup!$B$22*A787*B787)/33000))</f>
        <v>EMPTY</v>
      </c>
      <c r="D787" s="30" t="str">
        <f>IF(Setup!$H$2=0,"EMPTY",IF(B787=0,"EMPTY",B787*Setup!$B$22*Setup!$G$6*Setup!$D$11))</f>
        <v>EMPTY</v>
      </c>
      <c r="E787" s="31">
        <f>IF(Setup!$H$2=0,-1,IF(A787=0,-1,A787*1/(Setup!$G$6)))</f>
        <v>-1</v>
      </c>
      <c r="F787" s="31"/>
    </row>
    <row r="788" spans="1:6" ht="15.75" x14ac:dyDescent="0.25">
      <c r="A788"/>
      <c r="B788"/>
      <c r="C788" s="29" t="str">
        <f>IF(B788=0,"EMPTY",Setup!$D$11*((PI()*2*Setup!$B$22*A788*B788)/33000))</f>
        <v>EMPTY</v>
      </c>
      <c r="D788" s="30" t="str">
        <f>IF(Setup!$H$2=0,"EMPTY",IF(B788=0,"EMPTY",B788*Setup!$B$22*Setup!$G$6*Setup!$D$11))</f>
        <v>EMPTY</v>
      </c>
      <c r="E788" s="31">
        <f>IF(Setup!$H$2=0,-1,IF(A788=0,-1,A788*1/(Setup!$G$6)))</f>
        <v>-1</v>
      </c>
      <c r="F788" s="31"/>
    </row>
    <row r="789" spans="1:6" ht="15.75" x14ac:dyDescent="0.25">
      <c r="A789"/>
      <c r="B789"/>
      <c r="C789" s="29" t="str">
        <f>IF(B789=0,"EMPTY",Setup!$D$11*((PI()*2*Setup!$B$22*A789*B789)/33000))</f>
        <v>EMPTY</v>
      </c>
      <c r="D789" s="30" t="str">
        <f>IF(Setup!$H$2=0,"EMPTY",IF(B789=0,"EMPTY",B789*Setup!$B$22*Setup!$G$6*Setup!$D$11))</f>
        <v>EMPTY</v>
      </c>
      <c r="E789" s="31">
        <f>IF(Setup!$H$2=0,-1,IF(A789=0,-1,A789*1/(Setup!$G$6)))</f>
        <v>-1</v>
      </c>
      <c r="F789" s="31"/>
    </row>
    <row r="790" spans="1:6" ht="15.75" x14ac:dyDescent="0.25">
      <c r="A790"/>
      <c r="B790"/>
      <c r="C790" s="29" t="str">
        <f>IF(B790=0,"EMPTY",Setup!$D$11*((PI()*2*Setup!$B$22*A790*B790)/33000))</f>
        <v>EMPTY</v>
      </c>
      <c r="D790" s="30" t="str">
        <f>IF(Setup!$H$2=0,"EMPTY",IF(B790=0,"EMPTY",B790*Setup!$B$22*Setup!$G$6*Setup!$D$11))</f>
        <v>EMPTY</v>
      </c>
      <c r="E790" s="31">
        <f>IF(Setup!$H$2=0,-1,IF(A790=0,-1,A790*1/(Setup!$G$6)))</f>
        <v>-1</v>
      </c>
      <c r="F790" s="31"/>
    </row>
    <row r="791" spans="1:6" ht="15.75" x14ac:dyDescent="0.25">
      <c r="A791"/>
      <c r="B791"/>
      <c r="C791" s="29" t="str">
        <f>IF(B791=0,"EMPTY",Setup!$D$11*((PI()*2*Setup!$B$22*A791*B791)/33000))</f>
        <v>EMPTY</v>
      </c>
      <c r="D791" s="30" t="str">
        <f>IF(Setup!$H$2=0,"EMPTY",IF(B791=0,"EMPTY",B791*Setup!$B$22*Setup!$G$6*Setup!$D$11))</f>
        <v>EMPTY</v>
      </c>
      <c r="E791" s="31">
        <f>IF(Setup!$H$2=0,-1,IF(A791=0,-1,A791*1/(Setup!$G$6)))</f>
        <v>-1</v>
      </c>
      <c r="F791" s="31"/>
    </row>
    <row r="792" spans="1:6" ht="15.75" x14ac:dyDescent="0.25">
      <c r="A792"/>
      <c r="B792"/>
      <c r="C792" s="29" t="str">
        <f>IF(B792=0,"EMPTY",Setup!$D$11*((PI()*2*Setup!$B$22*A792*B792)/33000))</f>
        <v>EMPTY</v>
      </c>
      <c r="D792" s="30" t="str">
        <f>IF(Setup!$H$2=0,"EMPTY",IF(B792=0,"EMPTY",B792*Setup!$B$22*Setup!$G$6*Setup!$D$11))</f>
        <v>EMPTY</v>
      </c>
      <c r="E792" s="31">
        <f>IF(Setup!$H$2=0,-1,IF(A792=0,-1,A792*1/(Setup!$G$6)))</f>
        <v>-1</v>
      </c>
      <c r="F792" s="31"/>
    </row>
    <row r="793" spans="1:6" ht="15.75" x14ac:dyDescent="0.25">
      <c r="A793"/>
      <c r="B793"/>
      <c r="C793" s="29" t="str">
        <f>IF(B793=0,"EMPTY",Setup!$D$11*((PI()*2*Setup!$B$22*A793*B793)/33000))</f>
        <v>EMPTY</v>
      </c>
      <c r="D793" s="30" t="str">
        <f>IF(Setup!$H$2=0,"EMPTY",IF(B793=0,"EMPTY",B793*Setup!$B$22*Setup!$G$6*Setup!$D$11))</f>
        <v>EMPTY</v>
      </c>
      <c r="E793" s="31">
        <f>IF(Setup!$H$2=0,-1,IF(A793=0,-1,A793*1/(Setup!$G$6)))</f>
        <v>-1</v>
      </c>
      <c r="F793" s="31"/>
    </row>
    <row r="794" spans="1:6" ht="15.75" x14ac:dyDescent="0.25">
      <c r="A794"/>
      <c r="B794"/>
      <c r="C794" s="29" t="str">
        <f>IF(B794=0,"EMPTY",Setup!$D$11*((PI()*2*Setup!$B$22*A794*B794)/33000))</f>
        <v>EMPTY</v>
      </c>
      <c r="D794" s="30" t="str">
        <f>IF(Setup!$H$2=0,"EMPTY",IF(B794=0,"EMPTY",B794*Setup!$B$22*Setup!$G$6*Setup!$D$11))</f>
        <v>EMPTY</v>
      </c>
      <c r="E794" s="31">
        <f>IF(Setup!$H$2=0,-1,IF(A794=0,-1,A794*1/(Setup!$G$6)))</f>
        <v>-1</v>
      </c>
      <c r="F794" s="31"/>
    </row>
    <row r="795" spans="1:6" ht="15.75" x14ac:dyDescent="0.25">
      <c r="A795"/>
      <c r="B795"/>
      <c r="C795" s="29" t="str">
        <f>IF(B795=0,"EMPTY",Setup!$D$11*((PI()*2*Setup!$B$22*A795*B795)/33000))</f>
        <v>EMPTY</v>
      </c>
      <c r="D795" s="30" t="str">
        <f>IF(Setup!$H$2=0,"EMPTY",IF(B795=0,"EMPTY",B795*Setup!$B$22*Setup!$G$6*Setup!$D$11))</f>
        <v>EMPTY</v>
      </c>
      <c r="E795" s="31">
        <f>IF(Setup!$H$2=0,-1,IF(A795=0,-1,A795*1/(Setup!$G$6)))</f>
        <v>-1</v>
      </c>
      <c r="F795" s="31"/>
    </row>
    <row r="796" spans="1:6" ht="15.75" x14ac:dyDescent="0.25">
      <c r="A796"/>
      <c r="B796"/>
      <c r="C796" s="29" t="str">
        <f>IF(B796=0,"EMPTY",Setup!$D$11*((PI()*2*Setup!$B$22*A796*B796)/33000))</f>
        <v>EMPTY</v>
      </c>
      <c r="D796" s="30" t="str">
        <f>IF(Setup!$H$2=0,"EMPTY",IF(B796=0,"EMPTY",B796*Setup!$B$22*Setup!$G$6*Setup!$D$11))</f>
        <v>EMPTY</v>
      </c>
      <c r="E796" s="31">
        <f>IF(Setup!$H$2=0,-1,IF(A796=0,-1,A796*1/(Setup!$G$6)))</f>
        <v>-1</v>
      </c>
      <c r="F796" s="31"/>
    </row>
    <row r="797" spans="1:6" ht="15.75" x14ac:dyDescent="0.25">
      <c r="A797"/>
      <c r="B797"/>
      <c r="C797" s="29" t="str">
        <f>IF(B797=0,"EMPTY",Setup!$D$11*((PI()*2*Setup!$B$22*A797*B797)/33000))</f>
        <v>EMPTY</v>
      </c>
      <c r="D797" s="30" t="str">
        <f>IF(Setup!$H$2=0,"EMPTY",IF(B797=0,"EMPTY",B797*Setup!$B$22*Setup!$G$6*Setup!$D$11))</f>
        <v>EMPTY</v>
      </c>
      <c r="E797" s="31">
        <f>IF(Setup!$H$2=0,-1,IF(A797=0,-1,A797*1/(Setup!$G$6)))</f>
        <v>-1</v>
      </c>
      <c r="F797" s="31"/>
    </row>
    <row r="798" spans="1:6" ht="15.75" x14ac:dyDescent="0.25">
      <c r="A798"/>
      <c r="B798"/>
      <c r="C798" s="29" t="str">
        <f>IF(B798=0,"EMPTY",Setup!$D$11*((PI()*2*Setup!$B$22*A798*B798)/33000))</f>
        <v>EMPTY</v>
      </c>
      <c r="D798" s="30" t="str">
        <f>IF(Setup!$H$2=0,"EMPTY",IF(B798=0,"EMPTY",B798*Setup!$B$22*Setup!$G$6*Setup!$D$11))</f>
        <v>EMPTY</v>
      </c>
      <c r="E798" s="31">
        <f>IF(Setup!$H$2=0,-1,IF(A798=0,-1,A798*1/(Setup!$G$6)))</f>
        <v>-1</v>
      </c>
      <c r="F798" s="31"/>
    </row>
    <row r="799" spans="1:6" ht="15.75" x14ac:dyDescent="0.25">
      <c r="A799"/>
      <c r="B799"/>
      <c r="C799" s="29" t="str">
        <f>IF(B799=0,"EMPTY",Setup!$D$11*((PI()*2*Setup!$B$22*A799*B799)/33000))</f>
        <v>EMPTY</v>
      </c>
      <c r="D799" s="30" t="str">
        <f>IF(Setup!$H$2=0,"EMPTY",IF(B799=0,"EMPTY",B799*Setup!$B$22*Setup!$G$6*Setup!$D$11))</f>
        <v>EMPTY</v>
      </c>
      <c r="E799" s="31">
        <f>IF(Setup!$H$2=0,-1,IF(A799=0,-1,A799*1/(Setup!$G$6)))</f>
        <v>-1</v>
      </c>
      <c r="F799" s="31"/>
    </row>
    <row r="800" spans="1:6" ht="15.75" x14ac:dyDescent="0.25">
      <c r="A800"/>
      <c r="B800"/>
      <c r="C800" s="29" t="str">
        <f>IF(B800=0,"EMPTY",Setup!$D$11*((PI()*2*Setup!$B$22*A800*B800)/33000))</f>
        <v>EMPTY</v>
      </c>
      <c r="D800" s="30" t="str">
        <f>IF(Setup!$H$2=0,"EMPTY",IF(B800=0,"EMPTY",B800*Setup!$B$22*Setup!$G$6*Setup!$D$11))</f>
        <v>EMPTY</v>
      </c>
      <c r="E800" s="31">
        <f>IF(Setup!$H$2=0,-1,IF(A800=0,-1,A800*1/(Setup!$G$6)))</f>
        <v>-1</v>
      </c>
      <c r="F800" s="31"/>
    </row>
    <row r="801" spans="1:6" ht="15.75" x14ac:dyDescent="0.25">
      <c r="A801"/>
      <c r="B801"/>
      <c r="C801" s="29" t="str">
        <f>IF(B801=0,"EMPTY",Setup!$D$11*((PI()*2*Setup!$B$22*A801*B801)/33000))</f>
        <v>EMPTY</v>
      </c>
      <c r="D801" s="30" t="str">
        <f>IF(Setup!$H$2=0,"EMPTY",IF(B801=0,"EMPTY",B801*Setup!$B$22*Setup!$G$6*Setup!$D$11))</f>
        <v>EMPTY</v>
      </c>
      <c r="E801" s="31">
        <f>IF(Setup!$H$2=0,-1,IF(A801=0,-1,A801*1/(Setup!$G$6)))</f>
        <v>-1</v>
      </c>
      <c r="F801" s="31"/>
    </row>
    <row r="802" spans="1:6" ht="15.75" x14ac:dyDescent="0.25">
      <c r="A802"/>
      <c r="B802"/>
      <c r="C802" s="29" t="str">
        <f>IF(B802=0,"EMPTY",Setup!$D$11*((PI()*2*Setup!$B$22*A802*B802)/33000))</f>
        <v>EMPTY</v>
      </c>
      <c r="D802" s="30" t="str">
        <f>IF(Setup!$H$2=0,"EMPTY",IF(B802=0,"EMPTY",B802*Setup!$B$22*Setup!$G$6*Setup!$D$11))</f>
        <v>EMPTY</v>
      </c>
      <c r="E802" s="31">
        <f>IF(Setup!$H$2=0,-1,IF(A802=0,-1,A802*1/(Setup!$G$6)))</f>
        <v>-1</v>
      </c>
      <c r="F802" s="31"/>
    </row>
    <row r="803" spans="1:6" ht="15.75" x14ac:dyDescent="0.25">
      <c r="A803"/>
      <c r="B803"/>
      <c r="C803" s="29" t="str">
        <f>IF(B803=0,"EMPTY",Setup!$D$11*((PI()*2*Setup!$B$22*A803*B803)/33000))</f>
        <v>EMPTY</v>
      </c>
      <c r="D803" s="30" t="str">
        <f>IF(Setup!$H$2=0,"EMPTY",IF(B803=0,"EMPTY",B803*Setup!$B$22*Setup!$G$6*Setup!$D$11))</f>
        <v>EMPTY</v>
      </c>
      <c r="E803" s="31">
        <f>IF(Setup!$H$2=0,-1,IF(A803=0,-1,A803*1/(Setup!$G$6)))</f>
        <v>-1</v>
      </c>
      <c r="F803" s="31"/>
    </row>
    <row r="804" spans="1:6" ht="15.75" x14ac:dyDescent="0.25">
      <c r="A804"/>
      <c r="B804"/>
      <c r="C804" s="29" t="str">
        <f>IF(B804=0,"EMPTY",Setup!$D$11*((PI()*2*Setup!$B$22*A804*B804)/33000))</f>
        <v>EMPTY</v>
      </c>
      <c r="D804" s="30" t="str">
        <f>IF(Setup!$H$2=0,"EMPTY",IF(B804=0,"EMPTY",B804*Setup!$B$22*Setup!$G$6*Setup!$D$11))</f>
        <v>EMPTY</v>
      </c>
      <c r="E804" s="31">
        <f>IF(Setup!$H$2=0,-1,IF(A804=0,-1,A804*1/(Setup!$G$6)))</f>
        <v>-1</v>
      </c>
      <c r="F804" s="31"/>
    </row>
    <row r="805" spans="1:6" ht="15.75" x14ac:dyDescent="0.25">
      <c r="A805"/>
      <c r="B805"/>
      <c r="C805" s="29" t="str">
        <f>IF(B805=0,"EMPTY",Setup!$D$11*((PI()*2*Setup!$B$22*A805*B805)/33000))</f>
        <v>EMPTY</v>
      </c>
      <c r="D805" s="30" t="str">
        <f>IF(Setup!$H$2=0,"EMPTY",IF(B805=0,"EMPTY",B805*Setup!$B$22*Setup!$G$6*Setup!$D$11))</f>
        <v>EMPTY</v>
      </c>
      <c r="E805" s="31">
        <f>IF(Setup!$H$2=0,-1,IF(A805=0,-1,A805*1/(Setup!$G$6)))</f>
        <v>-1</v>
      </c>
      <c r="F805" s="31"/>
    </row>
    <row r="806" spans="1:6" ht="15.75" x14ac:dyDescent="0.25">
      <c r="A806"/>
      <c r="B806"/>
      <c r="C806" s="29" t="str">
        <f>IF(B806=0,"EMPTY",Setup!$D$11*((PI()*2*Setup!$B$22*A806*B806)/33000))</f>
        <v>EMPTY</v>
      </c>
      <c r="D806" s="30" t="str">
        <f>IF(Setup!$H$2=0,"EMPTY",IF(B806=0,"EMPTY",B806*Setup!$B$22*Setup!$G$6*Setup!$D$11))</f>
        <v>EMPTY</v>
      </c>
      <c r="E806" s="31">
        <f>IF(Setup!$H$2=0,-1,IF(A806=0,-1,A806*1/(Setup!$G$6)))</f>
        <v>-1</v>
      </c>
      <c r="F806" s="31"/>
    </row>
    <row r="807" spans="1:6" ht="15.75" x14ac:dyDescent="0.25">
      <c r="A807"/>
      <c r="B807"/>
      <c r="C807" s="29" t="str">
        <f>IF(B807=0,"EMPTY",Setup!$D$11*((PI()*2*Setup!$B$22*A807*B807)/33000))</f>
        <v>EMPTY</v>
      </c>
      <c r="D807" s="30" t="str">
        <f>IF(Setup!$H$2=0,"EMPTY",IF(B807=0,"EMPTY",B807*Setup!$B$22*Setup!$G$6*Setup!$D$11))</f>
        <v>EMPTY</v>
      </c>
      <c r="E807" s="31">
        <f>IF(Setup!$H$2=0,-1,IF(A807=0,-1,A807*1/(Setup!$G$6)))</f>
        <v>-1</v>
      </c>
      <c r="F807" s="31"/>
    </row>
    <row r="808" spans="1:6" ht="15.75" x14ac:dyDescent="0.25">
      <c r="A808"/>
      <c r="B808"/>
      <c r="C808" s="29" t="str">
        <f>IF(B808=0,"EMPTY",Setup!$D$11*((PI()*2*Setup!$B$22*A808*B808)/33000))</f>
        <v>EMPTY</v>
      </c>
      <c r="D808" s="30" t="str">
        <f>IF(Setup!$H$2=0,"EMPTY",IF(B808=0,"EMPTY",B808*Setup!$B$22*Setup!$G$6*Setup!$D$11))</f>
        <v>EMPTY</v>
      </c>
      <c r="E808" s="31">
        <f>IF(Setup!$H$2=0,-1,IF(A808=0,-1,A808*1/(Setup!$G$6)))</f>
        <v>-1</v>
      </c>
      <c r="F808" s="31"/>
    </row>
    <row r="809" spans="1:6" ht="15.75" x14ac:dyDescent="0.25">
      <c r="A809"/>
      <c r="B809"/>
      <c r="C809" s="29" t="str">
        <f>IF(B809=0,"EMPTY",Setup!$D$11*((PI()*2*Setup!$B$22*A809*B809)/33000))</f>
        <v>EMPTY</v>
      </c>
      <c r="D809" s="30" t="str">
        <f>IF(Setup!$H$2=0,"EMPTY",IF(B809=0,"EMPTY",B809*Setup!$B$22*Setup!$G$6*Setup!$D$11))</f>
        <v>EMPTY</v>
      </c>
      <c r="E809" s="31">
        <f>IF(Setup!$H$2=0,-1,IF(A809=0,-1,A809*1/(Setup!$G$6)))</f>
        <v>-1</v>
      </c>
      <c r="F809" s="31"/>
    </row>
    <row r="810" spans="1:6" ht="15.75" x14ac:dyDescent="0.25">
      <c r="A810"/>
      <c r="B810"/>
      <c r="C810" s="29" t="str">
        <f>IF(B810=0,"EMPTY",Setup!$D$11*((PI()*2*Setup!$B$22*A810*B810)/33000))</f>
        <v>EMPTY</v>
      </c>
      <c r="D810" s="30" t="str">
        <f>IF(Setup!$H$2=0,"EMPTY",IF(B810=0,"EMPTY",B810*Setup!$B$22*Setup!$G$6*Setup!$D$11))</f>
        <v>EMPTY</v>
      </c>
      <c r="E810" s="31">
        <f>IF(Setup!$H$2=0,-1,IF(A810=0,-1,A810*1/(Setup!$G$6)))</f>
        <v>-1</v>
      </c>
      <c r="F810" s="31"/>
    </row>
    <row r="811" spans="1:6" ht="15.75" x14ac:dyDescent="0.25">
      <c r="A811"/>
      <c r="B811"/>
      <c r="C811" s="29" t="str">
        <f>IF(B811=0,"EMPTY",Setup!$D$11*((PI()*2*Setup!$B$22*A811*B811)/33000))</f>
        <v>EMPTY</v>
      </c>
      <c r="D811" s="30" t="str">
        <f>IF(Setup!$H$2=0,"EMPTY",IF(B811=0,"EMPTY",B811*Setup!$B$22*Setup!$G$6*Setup!$D$11))</f>
        <v>EMPTY</v>
      </c>
      <c r="E811" s="31">
        <f>IF(Setup!$H$2=0,-1,IF(A811=0,-1,A811*1/(Setup!$G$6)))</f>
        <v>-1</v>
      </c>
      <c r="F811" s="31"/>
    </row>
    <row r="812" spans="1:6" ht="15.75" x14ac:dyDescent="0.25">
      <c r="A812"/>
      <c r="B812"/>
      <c r="C812" s="29" t="str">
        <f>IF(B812=0,"EMPTY",Setup!$D$11*((PI()*2*Setup!$B$22*A812*B812)/33000))</f>
        <v>EMPTY</v>
      </c>
      <c r="D812" s="30" t="str">
        <f>IF(Setup!$H$2=0,"EMPTY",IF(B812=0,"EMPTY",B812*Setup!$B$22*Setup!$G$6*Setup!$D$11))</f>
        <v>EMPTY</v>
      </c>
      <c r="E812" s="31">
        <f>IF(Setup!$H$2=0,-1,IF(A812=0,-1,A812*1/(Setup!$G$6)))</f>
        <v>-1</v>
      </c>
      <c r="F812" s="31"/>
    </row>
    <row r="813" spans="1:6" ht="15.75" x14ac:dyDescent="0.25">
      <c r="A813"/>
      <c r="B813"/>
      <c r="C813" s="29" t="str">
        <f>IF(B813=0,"EMPTY",Setup!$D$11*((PI()*2*Setup!$B$22*A813*B813)/33000))</f>
        <v>EMPTY</v>
      </c>
      <c r="D813" s="30" t="str">
        <f>IF(Setup!$H$2=0,"EMPTY",IF(B813=0,"EMPTY",B813*Setup!$B$22*Setup!$G$6*Setup!$D$11))</f>
        <v>EMPTY</v>
      </c>
      <c r="E813" s="31">
        <f>IF(Setup!$H$2=0,-1,IF(A813=0,-1,A813*1/(Setup!$G$6)))</f>
        <v>-1</v>
      </c>
      <c r="F813" s="31"/>
    </row>
    <row r="814" spans="1:6" ht="15.75" x14ac:dyDescent="0.25">
      <c r="A814"/>
      <c r="B814"/>
      <c r="C814" s="29" t="str">
        <f>IF(B814=0,"EMPTY",Setup!$D$11*((PI()*2*Setup!$B$22*A814*B814)/33000))</f>
        <v>EMPTY</v>
      </c>
      <c r="D814" s="30" t="str">
        <f>IF(Setup!$H$2=0,"EMPTY",IF(B814=0,"EMPTY",B814*Setup!$B$22*Setup!$G$6*Setup!$D$11))</f>
        <v>EMPTY</v>
      </c>
      <c r="E814" s="31">
        <f>IF(Setup!$H$2=0,-1,IF(A814=0,-1,A814*1/(Setup!$G$6)))</f>
        <v>-1</v>
      </c>
      <c r="F814" s="31"/>
    </row>
    <row r="815" spans="1:6" ht="15.75" x14ac:dyDescent="0.25">
      <c r="A815"/>
      <c r="B815"/>
      <c r="C815" s="29" t="str">
        <f>IF(B815=0,"EMPTY",Setup!$D$11*((PI()*2*Setup!$B$22*A815*B815)/33000))</f>
        <v>EMPTY</v>
      </c>
      <c r="D815" s="30" t="str">
        <f>IF(Setup!$H$2=0,"EMPTY",IF(B815=0,"EMPTY",B815*Setup!$B$22*Setup!$G$6*Setup!$D$11))</f>
        <v>EMPTY</v>
      </c>
      <c r="E815" s="31">
        <f>IF(Setup!$H$2=0,-1,IF(A815=0,-1,A815*1/(Setup!$G$6)))</f>
        <v>-1</v>
      </c>
      <c r="F815" s="31"/>
    </row>
    <row r="816" spans="1:6" ht="15.75" x14ac:dyDescent="0.25">
      <c r="A816"/>
      <c r="B816"/>
      <c r="C816" s="29" t="str">
        <f>IF(B816=0,"EMPTY",Setup!$D$11*((PI()*2*Setup!$B$22*A816*B816)/33000))</f>
        <v>EMPTY</v>
      </c>
      <c r="D816" s="30" t="str">
        <f>IF(Setup!$H$2=0,"EMPTY",IF(B816=0,"EMPTY",B816*Setup!$B$22*Setup!$G$6*Setup!$D$11))</f>
        <v>EMPTY</v>
      </c>
      <c r="E816" s="31">
        <f>IF(Setup!$H$2=0,-1,IF(A816=0,-1,A816*1/(Setup!$G$6)))</f>
        <v>-1</v>
      </c>
      <c r="F816" s="31"/>
    </row>
    <row r="817" spans="1:6" ht="15.75" x14ac:dyDescent="0.25">
      <c r="A817"/>
      <c r="B817"/>
      <c r="C817" s="29" t="str">
        <f>IF(B817=0,"EMPTY",Setup!$D$11*((PI()*2*Setup!$B$22*A817*B817)/33000))</f>
        <v>EMPTY</v>
      </c>
      <c r="D817" s="30" t="str">
        <f>IF(Setup!$H$2=0,"EMPTY",IF(B817=0,"EMPTY",B817*Setup!$B$22*Setup!$G$6*Setup!$D$11))</f>
        <v>EMPTY</v>
      </c>
      <c r="E817" s="31">
        <f>IF(Setup!$H$2=0,-1,IF(A817=0,-1,A817*1/(Setup!$G$6)))</f>
        <v>-1</v>
      </c>
      <c r="F817" s="31"/>
    </row>
    <row r="818" spans="1:6" ht="15.75" x14ac:dyDescent="0.25">
      <c r="A818"/>
      <c r="B818"/>
      <c r="C818" s="29" t="str">
        <f>IF(B818=0,"EMPTY",Setup!$D$11*((PI()*2*Setup!$B$22*A818*B818)/33000))</f>
        <v>EMPTY</v>
      </c>
      <c r="D818" s="30" t="str">
        <f>IF(Setup!$H$2=0,"EMPTY",IF(B818=0,"EMPTY",B818*Setup!$B$22*Setup!$G$6*Setup!$D$11))</f>
        <v>EMPTY</v>
      </c>
      <c r="E818" s="31">
        <f>IF(Setup!$H$2=0,-1,IF(A818=0,-1,A818*1/(Setup!$G$6)))</f>
        <v>-1</v>
      </c>
      <c r="F818" s="31"/>
    </row>
    <row r="819" spans="1:6" ht="15.75" x14ac:dyDescent="0.25">
      <c r="A819"/>
      <c r="B819"/>
      <c r="C819" s="29" t="str">
        <f>IF(B819=0,"EMPTY",Setup!$D$11*((PI()*2*Setup!$B$22*A819*B819)/33000))</f>
        <v>EMPTY</v>
      </c>
      <c r="D819" s="30" t="str">
        <f>IF(Setup!$H$2=0,"EMPTY",IF(B819=0,"EMPTY",B819*Setup!$B$22*Setup!$G$6*Setup!$D$11))</f>
        <v>EMPTY</v>
      </c>
      <c r="E819" s="31">
        <f>IF(Setup!$H$2=0,-1,IF(A819=0,-1,A819*1/(Setup!$G$6)))</f>
        <v>-1</v>
      </c>
      <c r="F819" s="31"/>
    </row>
    <row r="820" spans="1:6" ht="15.75" x14ac:dyDescent="0.25">
      <c r="A820"/>
      <c r="B820"/>
      <c r="C820" s="29" t="str">
        <f>IF(B820=0,"EMPTY",Setup!$D$11*((PI()*2*Setup!$B$22*A820*B820)/33000))</f>
        <v>EMPTY</v>
      </c>
      <c r="D820" s="30" t="str">
        <f>IF(Setup!$H$2=0,"EMPTY",IF(B820=0,"EMPTY",B820*Setup!$B$22*Setup!$G$6*Setup!$D$11))</f>
        <v>EMPTY</v>
      </c>
      <c r="E820" s="31">
        <f>IF(Setup!$H$2=0,-1,IF(A820=0,-1,A820*1/(Setup!$G$6)))</f>
        <v>-1</v>
      </c>
      <c r="F820" s="31"/>
    </row>
    <row r="821" spans="1:6" ht="15.75" x14ac:dyDescent="0.25">
      <c r="A821"/>
      <c r="B821"/>
      <c r="C821" s="29" t="str">
        <f>IF(B821=0,"EMPTY",Setup!$D$11*((PI()*2*Setup!$B$22*A821*B821)/33000))</f>
        <v>EMPTY</v>
      </c>
      <c r="D821" s="30" t="str">
        <f>IF(Setup!$H$2=0,"EMPTY",IF(B821=0,"EMPTY",B821*Setup!$B$22*Setup!$G$6*Setup!$D$11))</f>
        <v>EMPTY</v>
      </c>
      <c r="E821" s="31">
        <f>IF(Setup!$H$2=0,-1,IF(A821=0,-1,A821*1/(Setup!$G$6)))</f>
        <v>-1</v>
      </c>
      <c r="F821" s="31"/>
    </row>
    <row r="822" spans="1:6" ht="15.75" x14ac:dyDescent="0.25">
      <c r="A822"/>
      <c r="B822"/>
      <c r="C822" s="29" t="str">
        <f>IF(B822=0,"EMPTY",Setup!$D$11*((PI()*2*Setup!$B$22*A822*B822)/33000))</f>
        <v>EMPTY</v>
      </c>
      <c r="D822" s="30" t="str">
        <f>IF(Setup!$H$2=0,"EMPTY",IF(B822=0,"EMPTY",B822*Setup!$B$22*Setup!$G$6*Setup!$D$11))</f>
        <v>EMPTY</v>
      </c>
      <c r="E822" s="31">
        <f>IF(Setup!$H$2=0,-1,IF(A822=0,-1,A822*1/(Setup!$G$6)))</f>
        <v>-1</v>
      </c>
      <c r="F822" s="31"/>
    </row>
    <row r="823" spans="1:6" ht="15.75" x14ac:dyDescent="0.25">
      <c r="A823"/>
      <c r="B823"/>
      <c r="C823" s="29" t="str">
        <f>IF(B823=0,"EMPTY",Setup!$D$11*((PI()*2*Setup!$B$22*A823*B823)/33000))</f>
        <v>EMPTY</v>
      </c>
      <c r="D823" s="30" t="str">
        <f>IF(Setup!$H$2=0,"EMPTY",IF(B823=0,"EMPTY",B823*Setup!$B$22*Setup!$G$6*Setup!$D$11))</f>
        <v>EMPTY</v>
      </c>
      <c r="E823" s="31">
        <f>IF(Setup!$H$2=0,-1,IF(A823=0,-1,A823*1/(Setup!$G$6)))</f>
        <v>-1</v>
      </c>
      <c r="F823" s="31"/>
    </row>
    <row r="824" spans="1:6" ht="15.75" x14ac:dyDescent="0.25">
      <c r="A824"/>
      <c r="B824"/>
      <c r="C824" s="29" t="str">
        <f>IF(B824=0,"EMPTY",Setup!$D$11*((PI()*2*Setup!$B$22*A824*B824)/33000))</f>
        <v>EMPTY</v>
      </c>
      <c r="D824" s="30" t="str">
        <f>IF(Setup!$H$2=0,"EMPTY",IF(B824=0,"EMPTY",B824*Setup!$B$22*Setup!$G$6*Setup!$D$11))</f>
        <v>EMPTY</v>
      </c>
      <c r="E824" s="31">
        <f>IF(Setup!$H$2=0,-1,IF(A824=0,-1,A824*1/(Setup!$G$6)))</f>
        <v>-1</v>
      </c>
      <c r="F824" s="31"/>
    </row>
    <row r="825" spans="1:6" ht="15.75" x14ac:dyDescent="0.25">
      <c r="A825"/>
      <c r="B825"/>
      <c r="C825" s="29" t="str">
        <f>IF(B825=0,"EMPTY",Setup!$D$11*((PI()*2*Setup!$B$22*A825*B825)/33000))</f>
        <v>EMPTY</v>
      </c>
      <c r="D825" s="30" t="str">
        <f>IF(Setup!$H$2=0,"EMPTY",IF(B825=0,"EMPTY",B825*Setup!$B$22*Setup!$G$6*Setup!$D$11))</f>
        <v>EMPTY</v>
      </c>
      <c r="E825" s="31">
        <f>IF(Setup!$H$2=0,-1,IF(A825=0,-1,A825*1/(Setup!$G$6)))</f>
        <v>-1</v>
      </c>
      <c r="F825" s="31"/>
    </row>
    <row r="826" spans="1:6" ht="15.75" x14ac:dyDescent="0.25">
      <c r="A826"/>
      <c r="B826"/>
      <c r="C826" s="29" t="str">
        <f>IF(B826=0,"EMPTY",Setup!$D$11*((PI()*2*Setup!$B$22*A826*B826)/33000))</f>
        <v>EMPTY</v>
      </c>
      <c r="D826" s="30" t="str">
        <f>IF(Setup!$H$2=0,"EMPTY",IF(B826=0,"EMPTY",B826*Setup!$B$22*Setup!$G$6*Setup!$D$11))</f>
        <v>EMPTY</v>
      </c>
      <c r="E826" s="31">
        <f>IF(Setup!$H$2=0,-1,IF(A826=0,-1,A826*1/(Setup!$G$6)))</f>
        <v>-1</v>
      </c>
      <c r="F826" s="31"/>
    </row>
    <row r="827" spans="1:6" ht="15.75" x14ac:dyDescent="0.25">
      <c r="A827"/>
      <c r="B827"/>
      <c r="C827" s="29" t="str">
        <f>IF(B827=0,"EMPTY",Setup!$D$11*((PI()*2*Setup!$B$22*A827*B827)/33000))</f>
        <v>EMPTY</v>
      </c>
      <c r="D827" s="30" t="str">
        <f>IF(Setup!$H$2=0,"EMPTY",IF(B827=0,"EMPTY",B827*Setup!$B$22*Setup!$G$6*Setup!$D$11))</f>
        <v>EMPTY</v>
      </c>
      <c r="E827" s="31">
        <f>IF(Setup!$H$2=0,-1,IF(A827=0,-1,A827*1/(Setup!$G$6)))</f>
        <v>-1</v>
      </c>
      <c r="F827" s="31"/>
    </row>
    <row r="828" spans="1:6" ht="15.75" x14ac:dyDescent="0.25">
      <c r="A828"/>
      <c r="B828"/>
      <c r="C828" s="29" t="str">
        <f>IF(B828=0,"EMPTY",Setup!$D$11*((PI()*2*Setup!$B$22*A828*B828)/33000))</f>
        <v>EMPTY</v>
      </c>
      <c r="D828" s="30" t="str">
        <f>IF(Setup!$H$2=0,"EMPTY",IF(B828=0,"EMPTY",B828*Setup!$B$22*Setup!$G$6*Setup!$D$11))</f>
        <v>EMPTY</v>
      </c>
      <c r="E828" s="31">
        <f>IF(Setup!$H$2=0,-1,IF(A828=0,-1,A828*1/(Setup!$G$6)))</f>
        <v>-1</v>
      </c>
      <c r="F828" s="31"/>
    </row>
    <row r="829" spans="1:6" ht="15.75" x14ac:dyDescent="0.25">
      <c r="A829"/>
      <c r="B829"/>
      <c r="C829" s="29" t="str">
        <f>IF(B829=0,"EMPTY",Setup!$D$11*((PI()*2*Setup!$B$22*A829*B829)/33000))</f>
        <v>EMPTY</v>
      </c>
      <c r="D829" s="30" t="str">
        <f>IF(Setup!$H$2=0,"EMPTY",IF(B829=0,"EMPTY",B829*Setup!$B$22*Setup!$G$6*Setup!$D$11))</f>
        <v>EMPTY</v>
      </c>
      <c r="E829" s="31">
        <f>IF(Setup!$H$2=0,-1,IF(A829=0,-1,A829*1/(Setup!$G$6)))</f>
        <v>-1</v>
      </c>
      <c r="F829" s="31"/>
    </row>
    <row r="830" spans="1:6" ht="15.75" x14ac:dyDescent="0.25">
      <c r="A830"/>
      <c r="B830"/>
      <c r="C830" s="29" t="str">
        <f>IF(B830=0,"EMPTY",Setup!$D$11*((PI()*2*Setup!$B$22*A830*B830)/33000))</f>
        <v>EMPTY</v>
      </c>
      <c r="D830" s="30" t="str">
        <f>IF(Setup!$H$2=0,"EMPTY",IF(B830=0,"EMPTY",B830*Setup!$B$22*Setup!$G$6*Setup!$D$11))</f>
        <v>EMPTY</v>
      </c>
      <c r="E830" s="31">
        <f>IF(Setup!$H$2=0,-1,IF(A830=0,-1,A830*1/(Setup!$G$6)))</f>
        <v>-1</v>
      </c>
      <c r="F830" s="31"/>
    </row>
    <row r="831" spans="1:6" ht="15.75" x14ac:dyDescent="0.25">
      <c r="A831"/>
      <c r="B831"/>
      <c r="C831" s="29" t="str">
        <f>IF(B831=0,"EMPTY",Setup!$D$11*((PI()*2*Setup!$B$22*A831*B831)/33000))</f>
        <v>EMPTY</v>
      </c>
      <c r="D831" s="30" t="str">
        <f>IF(Setup!$H$2=0,"EMPTY",IF(B831=0,"EMPTY",B831*Setup!$B$22*Setup!$G$6*Setup!$D$11))</f>
        <v>EMPTY</v>
      </c>
      <c r="E831" s="31">
        <f>IF(Setup!$H$2=0,-1,IF(A831=0,-1,A831*1/(Setup!$G$6)))</f>
        <v>-1</v>
      </c>
      <c r="F831" s="31"/>
    </row>
    <row r="832" spans="1:6" ht="15.75" x14ac:dyDescent="0.25">
      <c r="A832"/>
      <c r="B832"/>
      <c r="C832" s="29" t="str">
        <f>IF(B832=0,"EMPTY",Setup!$D$11*((PI()*2*Setup!$B$22*A832*B832)/33000))</f>
        <v>EMPTY</v>
      </c>
      <c r="D832" s="30" t="str">
        <f>IF(Setup!$H$2=0,"EMPTY",IF(B832=0,"EMPTY",B832*Setup!$B$22*Setup!$G$6*Setup!$D$11))</f>
        <v>EMPTY</v>
      </c>
      <c r="E832" s="31">
        <f>IF(Setup!$H$2=0,-1,IF(A832=0,-1,A832*1/(Setup!$G$6)))</f>
        <v>-1</v>
      </c>
      <c r="F832" s="31"/>
    </row>
    <row r="833" spans="1:6" ht="15.75" x14ac:dyDescent="0.25">
      <c r="A833"/>
      <c r="B833"/>
      <c r="C833" s="29" t="str">
        <f>IF(B833=0,"EMPTY",Setup!$D$11*((PI()*2*Setup!$B$22*A833*B833)/33000))</f>
        <v>EMPTY</v>
      </c>
      <c r="D833" s="30" t="str">
        <f>IF(Setup!$H$2=0,"EMPTY",IF(B833=0,"EMPTY",B833*Setup!$B$22*Setup!$G$6*Setup!$D$11))</f>
        <v>EMPTY</v>
      </c>
      <c r="E833" s="31">
        <f>IF(Setup!$H$2=0,-1,IF(A833=0,-1,A833*1/(Setup!$G$6)))</f>
        <v>-1</v>
      </c>
      <c r="F833" s="31"/>
    </row>
    <row r="834" spans="1:6" ht="15.75" x14ac:dyDescent="0.25">
      <c r="A834"/>
      <c r="B834"/>
      <c r="C834" s="29" t="str">
        <f>IF(B834=0,"EMPTY",Setup!$D$11*((PI()*2*Setup!$B$22*A834*B834)/33000))</f>
        <v>EMPTY</v>
      </c>
      <c r="D834" s="30" t="str">
        <f>IF(Setup!$H$2=0,"EMPTY",IF(B834=0,"EMPTY",B834*Setup!$B$22*Setup!$G$6*Setup!$D$11))</f>
        <v>EMPTY</v>
      </c>
      <c r="E834" s="31">
        <f>IF(Setup!$H$2=0,-1,IF(A834=0,-1,A834*1/(Setup!$G$6)))</f>
        <v>-1</v>
      </c>
      <c r="F834" s="31"/>
    </row>
    <row r="835" spans="1:6" ht="15.75" x14ac:dyDescent="0.25">
      <c r="A835"/>
      <c r="B835"/>
      <c r="C835" s="29" t="str">
        <f>IF(B835=0,"EMPTY",Setup!$D$11*((PI()*2*Setup!$B$22*A835*B835)/33000))</f>
        <v>EMPTY</v>
      </c>
      <c r="D835" s="30" t="str">
        <f>IF(Setup!$H$2=0,"EMPTY",IF(B835=0,"EMPTY",B835*Setup!$B$22*Setup!$G$6*Setup!$D$11))</f>
        <v>EMPTY</v>
      </c>
      <c r="E835" s="31">
        <f>IF(Setup!$H$2=0,-1,IF(A835=0,-1,A835*1/(Setup!$G$6)))</f>
        <v>-1</v>
      </c>
      <c r="F835" s="31"/>
    </row>
    <row r="836" spans="1:6" ht="15.75" x14ac:dyDescent="0.25">
      <c r="A836"/>
      <c r="B836"/>
      <c r="C836" s="29" t="str">
        <f>IF(B836=0,"EMPTY",Setup!$D$11*((PI()*2*Setup!$B$22*A836*B836)/33000))</f>
        <v>EMPTY</v>
      </c>
      <c r="D836" s="30" t="str">
        <f>IF(Setup!$H$2=0,"EMPTY",IF(B836=0,"EMPTY",B836*Setup!$B$22*Setup!$G$6*Setup!$D$11))</f>
        <v>EMPTY</v>
      </c>
      <c r="E836" s="31">
        <f>IF(Setup!$H$2=0,-1,IF(A836=0,-1,A836*1/(Setup!$G$6)))</f>
        <v>-1</v>
      </c>
      <c r="F836" s="31"/>
    </row>
    <row r="837" spans="1:6" ht="15.75" x14ac:dyDescent="0.25">
      <c r="A837"/>
      <c r="B837"/>
      <c r="C837" s="29" t="str">
        <f>IF(B837=0,"EMPTY",Setup!$D$11*((PI()*2*Setup!$B$22*A837*B837)/33000))</f>
        <v>EMPTY</v>
      </c>
      <c r="D837" s="30" t="str">
        <f>IF(Setup!$H$2=0,"EMPTY",IF(B837=0,"EMPTY",B837*Setup!$B$22*Setup!$G$6*Setup!$D$11))</f>
        <v>EMPTY</v>
      </c>
      <c r="E837" s="31">
        <f>IF(Setup!$H$2=0,-1,IF(A837=0,-1,A837*1/(Setup!$G$6)))</f>
        <v>-1</v>
      </c>
      <c r="F837" s="31"/>
    </row>
    <row r="838" spans="1:6" ht="15.75" x14ac:dyDescent="0.25">
      <c r="A838"/>
      <c r="B838"/>
      <c r="C838" s="29" t="str">
        <f>IF(B838=0,"EMPTY",Setup!$D$11*((PI()*2*Setup!$B$22*A838*B838)/33000))</f>
        <v>EMPTY</v>
      </c>
      <c r="D838" s="30" t="str">
        <f>IF(Setup!$H$2=0,"EMPTY",IF(B838=0,"EMPTY",B838*Setup!$B$22*Setup!$G$6*Setup!$D$11))</f>
        <v>EMPTY</v>
      </c>
      <c r="E838" s="31">
        <f>IF(Setup!$H$2=0,-1,IF(A838=0,-1,A838*1/(Setup!$G$6)))</f>
        <v>-1</v>
      </c>
      <c r="F838" s="31"/>
    </row>
    <row r="839" spans="1:6" ht="15.75" x14ac:dyDescent="0.25">
      <c r="A839"/>
      <c r="B839"/>
      <c r="C839" s="29" t="str">
        <f>IF(B839=0,"EMPTY",Setup!$D$11*((PI()*2*Setup!$B$22*A839*B839)/33000))</f>
        <v>EMPTY</v>
      </c>
      <c r="D839" s="30" t="str">
        <f>IF(Setup!$H$2=0,"EMPTY",IF(B839=0,"EMPTY",B839*Setup!$B$22*Setup!$G$6*Setup!$D$11))</f>
        <v>EMPTY</v>
      </c>
      <c r="E839" s="31">
        <f>IF(Setup!$H$2=0,-1,IF(A839=0,-1,A839*1/(Setup!$G$6)))</f>
        <v>-1</v>
      </c>
      <c r="F839" s="31"/>
    </row>
    <row r="840" spans="1:6" ht="15.75" x14ac:dyDescent="0.25">
      <c r="A840"/>
      <c r="B840"/>
      <c r="C840" s="29" t="str">
        <f>IF(B840=0,"EMPTY",Setup!$D$11*((PI()*2*Setup!$B$22*A840*B840)/33000))</f>
        <v>EMPTY</v>
      </c>
      <c r="D840" s="30" t="str">
        <f>IF(Setup!$H$2=0,"EMPTY",IF(B840=0,"EMPTY",B840*Setup!$B$22*Setup!$G$6*Setup!$D$11))</f>
        <v>EMPTY</v>
      </c>
      <c r="E840" s="31">
        <f>IF(Setup!$H$2=0,-1,IF(A840=0,-1,A840*1/(Setup!$G$6)))</f>
        <v>-1</v>
      </c>
      <c r="F840" s="31"/>
    </row>
    <row r="841" spans="1:6" ht="15.75" x14ac:dyDescent="0.25">
      <c r="A841"/>
      <c r="B841"/>
      <c r="C841" s="29" t="str">
        <f>IF(B841=0,"EMPTY",Setup!$D$11*((PI()*2*Setup!$B$22*A841*B841)/33000))</f>
        <v>EMPTY</v>
      </c>
      <c r="D841" s="30" t="str">
        <f>IF(Setup!$H$2=0,"EMPTY",IF(B841=0,"EMPTY",B841*Setup!$B$22*Setup!$G$6*Setup!$D$11))</f>
        <v>EMPTY</v>
      </c>
      <c r="E841" s="31">
        <f>IF(Setup!$H$2=0,-1,IF(A841=0,-1,A841*1/(Setup!$G$6)))</f>
        <v>-1</v>
      </c>
      <c r="F841" s="31"/>
    </row>
    <row r="842" spans="1:6" ht="15.75" x14ac:dyDescent="0.25">
      <c r="A842"/>
      <c r="B842"/>
      <c r="C842" s="29" t="str">
        <f>IF(B842=0,"EMPTY",Setup!$D$11*((PI()*2*Setup!$B$22*A842*B842)/33000))</f>
        <v>EMPTY</v>
      </c>
      <c r="D842" s="30" t="str">
        <f>IF(Setup!$H$2=0,"EMPTY",IF(B842=0,"EMPTY",B842*Setup!$B$22*Setup!$G$6*Setup!$D$11))</f>
        <v>EMPTY</v>
      </c>
      <c r="E842" s="31">
        <f>IF(Setup!$H$2=0,-1,IF(A842=0,-1,A842*1/(Setup!$G$6)))</f>
        <v>-1</v>
      </c>
      <c r="F842" s="31"/>
    </row>
    <row r="843" spans="1:6" ht="15.75" x14ac:dyDescent="0.25">
      <c r="A843"/>
      <c r="B843"/>
      <c r="C843" s="29" t="str">
        <f>IF(B843=0,"EMPTY",Setup!$D$11*((PI()*2*Setup!$B$22*A843*B843)/33000))</f>
        <v>EMPTY</v>
      </c>
      <c r="D843" s="30" t="str">
        <f>IF(Setup!$H$2=0,"EMPTY",IF(B843=0,"EMPTY",B843*Setup!$B$22*Setup!$G$6*Setup!$D$11))</f>
        <v>EMPTY</v>
      </c>
      <c r="E843" s="31">
        <f>IF(Setup!$H$2=0,-1,IF(A843=0,-1,A843*1/(Setup!$G$6)))</f>
        <v>-1</v>
      </c>
      <c r="F843" s="31"/>
    </row>
    <row r="844" spans="1:6" ht="15.75" x14ac:dyDescent="0.25">
      <c r="A844"/>
      <c r="B844"/>
      <c r="C844" s="29" t="str">
        <f>IF(B844=0,"EMPTY",Setup!$D$11*((PI()*2*Setup!$B$22*A844*B844)/33000))</f>
        <v>EMPTY</v>
      </c>
      <c r="D844" s="30" t="str">
        <f>IF(Setup!$H$2=0,"EMPTY",IF(B844=0,"EMPTY",B844*Setup!$B$22*Setup!$G$6*Setup!$D$11))</f>
        <v>EMPTY</v>
      </c>
      <c r="E844" s="31">
        <f>IF(Setup!$H$2=0,-1,IF(A844=0,-1,A844*1/(Setup!$G$6)))</f>
        <v>-1</v>
      </c>
      <c r="F844" s="31"/>
    </row>
    <row r="845" spans="1:6" ht="15.75" x14ac:dyDescent="0.25">
      <c r="A845"/>
      <c r="B845"/>
      <c r="C845" s="29" t="str">
        <f>IF(B845=0,"EMPTY",Setup!$D$11*((PI()*2*Setup!$B$22*A845*B845)/33000))</f>
        <v>EMPTY</v>
      </c>
      <c r="D845" s="30" t="str">
        <f>IF(Setup!$H$2=0,"EMPTY",IF(B845=0,"EMPTY",B845*Setup!$B$22*Setup!$G$6*Setup!$D$11))</f>
        <v>EMPTY</v>
      </c>
      <c r="E845" s="31">
        <f>IF(Setup!$H$2=0,-1,IF(A845=0,-1,A845*1/(Setup!$G$6)))</f>
        <v>-1</v>
      </c>
      <c r="F845" s="31"/>
    </row>
    <row r="846" spans="1:6" ht="15.75" x14ac:dyDescent="0.25">
      <c r="A846"/>
      <c r="B846"/>
      <c r="C846" s="29" t="str">
        <f>IF(B846=0,"EMPTY",Setup!$D$11*((PI()*2*Setup!$B$22*A846*B846)/33000))</f>
        <v>EMPTY</v>
      </c>
      <c r="D846" s="30" t="str">
        <f>IF(Setup!$H$2=0,"EMPTY",IF(B846=0,"EMPTY",B846*Setup!$B$22*Setup!$G$6*Setup!$D$11))</f>
        <v>EMPTY</v>
      </c>
      <c r="E846" s="31">
        <f>IF(Setup!$H$2=0,-1,IF(A846=0,-1,A846*1/(Setup!$G$6)))</f>
        <v>-1</v>
      </c>
      <c r="F846" s="31"/>
    </row>
    <row r="847" spans="1:6" ht="15.75" x14ac:dyDescent="0.25">
      <c r="A847"/>
      <c r="B847"/>
      <c r="C847" s="29" t="str">
        <f>IF(B847=0,"EMPTY",Setup!$D$11*((PI()*2*Setup!$B$22*A847*B847)/33000))</f>
        <v>EMPTY</v>
      </c>
      <c r="D847" s="30" t="str">
        <f>IF(Setup!$H$2=0,"EMPTY",IF(B847=0,"EMPTY",B847*Setup!$B$22*Setup!$G$6*Setup!$D$11))</f>
        <v>EMPTY</v>
      </c>
      <c r="E847" s="31">
        <f>IF(Setup!$H$2=0,-1,IF(A847=0,-1,A847*1/(Setup!$G$6)))</f>
        <v>-1</v>
      </c>
      <c r="F847" s="31"/>
    </row>
    <row r="848" spans="1:6" ht="15.75" x14ac:dyDescent="0.25">
      <c r="A848"/>
      <c r="B848"/>
      <c r="C848" s="29" t="str">
        <f>IF(B848=0,"EMPTY",Setup!$D$11*((PI()*2*Setup!$B$22*A848*B848)/33000))</f>
        <v>EMPTY</v>
      </c>
      <c r="D848" s="30" t="str">
        <f>IF(Setup!$H$2=0,"EMPTY",IF(B848=0,"EMPTY",B848*Setup!$B$22*Setup!$G$6*Setup!$D$11))</f>
        <v>EMPTY</v>
      </c>
      <c r="E848" s="31">
        <f>IF(Setup!$H$2=0,-1,IF(A848=0,-1,A848*1/(Setup!$G$6)))</f>
        <v>-1</v>
      </c>
      <c r="F848" s="31"/>
    </row>
    <row r="849" spans="1:6" ht="15.75" x14ac:dyDescent="0.25">
      <c r="A849"/>
      <c r="B849"/>
      <c r="C849" s="29" t="str">
        <f>IF(B849=0,"EMPTY",Setup!$D$11*((PI()*2*Setup!$B$22*A849*B849)/33000))</f>
        <v>EMPTY</v>
      </c>
      <c r="D849" s="30" t="str">
        <f>IF(Setup!$H$2=0,"EMPTY",IF(B849=0,"EMPTY",B849*Setup!$B$22*Setup!$G$6*Setup!$D$11))</f>
        <v>EMPTY</v>
      </c>
      <c r="E849" s="31">
        <f>IF(Setup!$H$2=0,-1,IF(A849=0,-1,A849*1/(Setup!$G$6)))</f>
        <v>-1</v>
      </c>
      <c r="F849" s="31"/>
    </row>
    <row r="850" spans="1:6" ht="15.75" x14ac:dyDescent="0.25">
      <c r="A850"/>
      <c r="B850"/>
      <c r="C850" s="29" t="str">
        <f>IF(B850=0,"EMPTY",Setup!$D$11*((PI()*2*Setup!$B$22*A850*B850)/33000))</f>
        <v>EMPTY</v>
      </c>
      <c r="D850" s="30" t="str">
        <f>IF(Setup!$H$2=0,"EMPTY",IF(B850=0,"EMPTY",B850*Setup!$B$22*Setup!$G$6*Setup!$D$11))</f>
        <v>EMPTY</v>
      </c>
      <c r="E850" s="31">
        <f>IF(Setup!$H$2=0,-1,IF(A850=0,-1,A850*1/(Setup!$G$6)))</f>
        <v>-1</v>
      </c>
      <c r="F850" s="31"/>
    </row>
    <row r="851" spans="1:6" ht="15.75" x14ac:dyDescent="0.25">
      <c r="A851"/>
      <c r="B851"/>
      <c r="C851" s="29" t="str">
        <f>IF(B851=0,"EMPTY",Setup!$D$11*((PI()*2*Setup!$B$22*A851*B851)/33000))</f>
        <v>EMPTY</v>
      </c>
      <c r="D851" s="30" t="str">
        <f>IF(Setup!$H$2=0,"EMPTY",IF(B851=0,"EMPTY",B851*Setup!$B$22*Setup!$G$6*Setup!$D$11))</f>
        <v>EMPTY</v>
      </c>
      <c r="E851" s="31">
        <f>IF(Setup!$H$2=0,-1,IF(A851=0,-1,A851*1/(Setup!$G$6)))</f>
        <v>-1</v>
      </c>
      <c r="F851" s="31"/>
    </row>
    <row r="852" spans="1:6" ht="15.75" x14ac:dyDescent="0.25">
      <c r="A852"/>
      <c r="B852"/>
      <c r="C852" s="29" t="str">
        <f>IF(B852=0,"EMPTY",Setup!$D$11*((PI()*2*Setup!$B$22*A852*B852)/33000))</f>
        <v>EMPTY</v>
      </c>
      <c r="D852" s="30" t="str">
        <f>IF(Setup!$H$2=0,"EMPTY",IF(B852=0,"EMPTY",B852*Setup!$B$22*Setup!$G$6*Setup!$D$11))</f>
        <v>EMPTY</v>
      </c>
      <c r="E852" s="31">
        <f>IF(Setup!$H$2=0,-1,IF(A852=0,-1,A852*1/(Setup!$G$6)))</f>
        <v>-1</v>
      </c>
      <c r="F852" s="31"/>
    </row>
    <row r="853" spans="1:6" ht="15.75" x14ac:dyDescent="0.25">
      <c r="A853"/>
      <c r="B853"/>
      <c r="C853" s="29" t="str">
        <f>IF(B853=0,"EMPTY",Setup!$D$11*((PI()*2*Setup!$B$22*A853*B853)/33000))</f>
        <v>EMPTY</v>
      </c>
      <c r="D853" s="30" t="str">
        <f>IF(Setup!$H$2=0,"EMPTY",IF(B853=0,"EMPTY",B853*Setup!$B$22*Setup!$G$6*Setup!$D$11))</f>
        <v>EMPTY</v>
      </c>
      <c r="E853" s="31">
        <f>IF(Setup!$H$2=0,-1,IF(A853=0,-1,A853*1/(Setup!$G$6)))</f>
        <v>-1</v>
      </c>
      <c r="F853" s="31"/>
    </row>
    <row r="854" spans="1:6" ht="15.75" x14ac:dyDescent="0.25">
      <c r="A854"/>
      <c r="B854"/>
      <c r="C854" s="29" t="str">
        <f>IF(B854=0,"EMPTY",Setup!$D$11*((PI()*2*Setup!$B$22*A854*B854)/33000))</f>
        <v>EMPTY</v>
      </c>
      <c r="D854" s="30" t="str">
        <f>IF(Setup!$H$2=0,"EMPTY",IF(B854=0,"EMPTY",B854*Setup!$B$22*Setup!$G$6*Setup!$D$11))</f>
        <v>EMPTY</v>
      </c>
      <c r="E854" s="31">
        <f>IF(Setup!$H$2=0,-1,IF(A854=0,-1,A854*1/(Setup!$G$6)))</f>
        <v>-1</v>
      </c>
      <c r="F854" s="31"/>
    </row>
    <row r="855" spans="1:6" ht="15.75" x14ac:dyDescent="0.25">
      <c r="A855"/>
      <c r="B855"/>
      <c r="C855" s="29" t="str">
        <f>IF(B855=0,"EMPTY",Setup!$D$11*((PI()*2*Setup!$B$22*A855*B855)/33000))</f>
        <v>EMPTY</v>
      </c>
      <c r="D855" s="30" t="str">
        <f>IF(Setup!$H$2=0,"EMPTY",IF(B855=0,"EMPTY",B855*Setup!$B$22*Setup!$G$6*Setup!$D$11))</f>
        <v>EMPTY</v>
      </c>
      <c r="E855" s="31">
        <f>IF(Setup!$H$2=0,-1,IF(A855=0,-1,A855*1/(Setup!$G$6)))</f>
        <v>-1</v>
      </c>
      <c r="F855" s="31"/>
    </row>
    <row r="856" spans="1:6" ht="15.75" x14ac:dyDescent="0.25">
      <c r="A856"/>
      <c r="B856"/>
      <c r="C856" s="29" t="str">
        <f>IF(B856=0,"EMPTY",Setup!$D$11*((PI()*2*Setup!$B$22*A856*B856)/33000))</f>
        <v>EMPTY</v>
      </c>
      <c r="D856" s="30" t="str">
        <f>IF(Setup!$H$2=0,"EMPTY",IF(B856=0,"EMPTY",B856*Setup!$B$22*Setup!$G$6*Setup!$D$11))</f>
        <v>EMPTY</v>
      </c>
      <c r="E856" s="31">
        <f>IF(Setup!$H$2=0,-1,IF(A856=0,-1,A856*1/(Setup!$G$6)))</f>
        <v>-1</v>
      </c>
      <c r="F856" s="31"/>
    </row>
    <row r="857" spans="1:6" ht="15.75" x14ac:dyDescent="0.25">
      <c r="A857"/>
      <c r="B857"/>
      <c r="C857" s="29" t="str">
        <f>IF(B857=0,"EMPTY",Setup!$D$11*((PI()*2*Setup!$B$22*A857*B857)/33000))</f>
        <v>EMPTY</v>
      </c>
      <c r="D857" s="30" t="str">
        <f>IF(Setup!$H$2=0,"EMPTY",IF(B857=0,"EMPTY",B857*Setup!$B$22*Setup!$G$6*Setup!$D$11))</f>
        <v>EMPTY</v>
      </c>
      <c r="E857" s="31">
        <f>IF(Setup!$H$2=0,-1,IF(A857=0,-1,A857*1/(Setup!$G$6)))</f>
        <v>-1</v>
      </c>
      <c r="F857" s="31"/>
    </row>
    <row r="858" spans="1:6" ht="15.75" x14ac:dyDescent="0.25">
      <c r="A858"/>
      <c r="B858"/>
      <c r="C858" s="29" t="str">
        <f>IF(B858=0,"EMPTY",Setup!$D$11*((PI()*2*Setup!$B$22*A858*B858)/33000))</f>
        <v>EMPTY</v>
      </c>
      <c r="D858" s="30" t="str">
        <f>IF(Setup!$H$2=0,"EMPTY",IF(B858=0,"EMPTY",B858*Setup!$B$22*Setup!$G$6*Setup!$D$11))</f>
        <v>EMPTY</v>
      </c>
      <c r="E858" s="31">
        <f>IF(Setup!$H$2=0,-1,IF(A858=0,-1,A858*1/(Setup!$G$6)))</f>
        <v>-1</v>
      </c>
      <c r="F858" s="31"/>
    </row>
    <row r="859" spans="1:6" ht="15.75" x14ac:dyDescent="0.25">
      <c r="A859"/>
      <c r="B859"/>
      <c r="C859" s="29" t="str">
        <f>IF(B859=0,"EMPTY",Setup!$D$11*((PI()*2*Setup!$B$22*A859*B859)/33000))</f>
        <v>EMPTY</v>
      </c>
      <c r="D859" s="30" t="str">
        <f>IF(Setup!$H$2=0,"EMPTY",IF(B859=0,"EMPTY",B859*Setup!$B$22*Setup!$G$6*Setup!$D$11))</f>
        <v>EMPTY</v>
      </c>
      <c r="E859" s="31">
        <f>IF(Setup!$H$2=0,-1,IF(A859=0,-1,A859*1/(Setup!$G$6)))</f>
        <v>-1</v>
      </c>
      <c r="F859" s="31"/>
    </row>
    <row r="860" spans="1:6" ht="15.75" x14ac:dyDescent="0.25">
      <c r="A860"/>
      <c r="B860"/>
      <c r="C860" s="29" t="str">
        <f>IF(B860=0,"EMPTY",Setup!$D$11*((PI()*2*Setup!$B$22*A860*B860)/33000))</f>
        <v>EMPTY</v>
      </c>
      <c r="D860" s="30" t="str">
        <f>IF(Setup!$H$2=0,"EMPTY",IF(B860=0,"EMPTY",B860*Setup!$B$22*Setup!$G$6*Setup!$D$11))</f>
        <v>EMPTY</v>
      </c>
      <c r="E860" s="31">
        <f>IF(Setup!$H$2=0,-1,IF(A860=0,-1,A860*1/(Setup!$G$6)))</f>
        <v>-1</v>
      </c>
      <c r="F860" s="31"/>
    </row>
    <row r="861" spans="1:6" ht="15.75" x14ac:dyDescent="0.25">
      <c r="A861"/>
      <c r="B861"/>
      <c r="C861" s="29" t="str">
        <f>IF(B861=0,"EMPTY",Setup!$D$11*((PI()*2*Setup!$B$22*A861*B861)/33000))</f>
        <v>EMPTY</v>
      </c>
      <c r="D861" s="30" t="str">
        <f>IF(Setup!$H$2=0,"EMPTY",IF(B861=0,"EMPTY",B861*Setup!$B$22*Setup!$G$6*Setup!$D$11))</f>
        <v>EMPTY</v>
      </c>
      <c r="E861" s="31">
        <f>IF(Setup!$H$2=0,-1,IF(A861=0,-1,A861*1/(Setup!$G$6)))</f>
        <v>-1</v>
      </c>
      <c r="F861" s="31"/>
    </row>
    <row r="862" spans="1:6" ht="15.75" x14ac:dyDescent="0.25">
      <c r="A862"/>
      <c r="B862"/>
      <c r="C862" s="29" t="str">
        <f>IF(B862=0,"EMPTY",Setup!$D$11*((PI()*2*Setup!$B$22*A862*B862)/33000))</f>
        <v>EMPTY</v>
      </c>
      <c r="D862" s="30" t="str">
        <f>IF(Setup!$H$2=0,"EMPTY",IF(B862=0,"EMPTY",B862*Setup!$B$22*Setup!$G$6*Setup!$D$11))</f>
        <v>EMPTY</v>
      </c>
      <c r="E862" s="31">
        <f>IF(Setup!$H$2=0,-1,IF(A862=0,-1,A862*1/(Setup!$G$6)))</f>
        <v>-1</v>
      </c>
      <c r="F862" s="31"/>
    </row>
    <row r="863" spans="1:6" ht="15.75" x14ac:dyDescent="0.25">
      <c r="A863"/>
      <c r="B863"/>
      <c r="C863" s="29" t="str">
        <f>IF(B863=0,"EMPTY",Setup!$D$11*((PI()*2*Setup!$B$22*A863*B863)/33000))</f>
        <v>EMPTY</v>
      </c>
      <c r="D863" s="30" t="str">
        <f>IF(Setup!$H$2=0,"EMPTY",IF(B863=0,"EMPTY",B863*Setup!$B$22*Setup!$G$6*Setup!$D$11))</f>
        <v>EMPTY</v>
      </c>
      <c r="E863" s="31">
        <f>IF(Setup!$H$2=0,-1,IF(A863=0,-1,A863*1/(Setup!$G$6)))</f>
        <v>-1</v>
      </c>
      <c r="F863" s="31"/>
    </row>
    <row r="864" spans="1:6" ht="15.75" x14ac:dyDescent="0.25">
      <c r="A864"/>
      <c r="B864"/>
      <c r="C864" s="29" t="str">
        <f>IF(B864=0,"EMPTY",Setup!$D$11*((PI()*2*Setup!$B$22*A864*B864)/33000))</f>
        <v>EMPTY</v>
      </c>
      <c r="D864" s="30" t="str">
        <f>IF(Setup!$H$2=0,"EMPTY",IF(B864=0,"EMPTY",B864*Setup!$B$22*Setup!$G$6*Setup!$D$11))</f>
        <v>EMPTY</v>
      </c>
      <c r="E864" s="31">
        <f>IF(Setup!$H$2=0,-1,IF(A864=0,-1,A864*1/(Setup!$G$6)))</f>
        <v>-1</v>
      </c>
      <c r="F864" s="31"/>
    </row>
    <row r="865" spans="1:6" ht="15.75" x14ac:dyDescent="0.25">
      <c r="A865"/>
      <c r="B865"/>
      <c r="C865" s="29" t="str">
        <f>IF(B865=0,"EMPTY",Setup!$D$11*((PI()*2*Setup!$B$22*A865*B865)/33000))</f>
        <v>EMPTY</v>
      </c>
      <c r="D865" s="30" t="str">
        <f>IF(Setup!$H$2=0,"EMPTY",IF(B865=0,"EMPTY",B865*Setup!$B$22*Setup!$G$6*Setup!$D$11))</f>
        <v>EMPTY</v>
      </c>
      <c r="E865" s="31">
        <f>IF(Setup!$H$2=0,-1,IF(A865=0,-1,A865*1/(Setup!$G$6)))</f>
        <v>-1</v>
      </c>
      <c r="F865" s="31"/>
    </row>
    <row r="866" spans="1:6" ht="15.75" x14ac:dyDescent="0.25">
      <c r="A866"/>
      <c r="B866"/>
      <c r="C866" s="29" t="str">
        <f>IF(B866=0,"EMPTY",Setup!$D$11*((PI()*2*Setup!$B$22*A866*B866)/33000))</f>
        <v>EMPTY</v>
      </c>
      <c r="D866" s="30" t="str">
        <f>IF(Setup!$H$2=0,"EMPTY",IF(B866=0,"EMPTY",B866*Setup!$B$22*Setup!$G$6*Setup!$D$11))</f>
        <v>EMPTY</v>
      </c>
      <c r="E866" s="31">
        <f>IF(Setup!$H$2=0,-1,IF(A866=0,-1,A866*1/(Setup!$G$6)))</f>
        <v>-1</v>
      </c>
      <c r="F866" s="31"/>
    </row>
    <row r="867" spans="1:6" ht="15.75" x14ac:dyDescent="0.25">
      <c r="A867"/>
      <c r="B867"/>
      <c r="C867" s="29" t="str">
        <f>IF(B867=0,"EMPTY",Setup!$D$11*((PI()*2*Setup!$B$22*A867*B867)/33000))</f>
        <v>EMPTY</v>
      </c>
      <c r="D867" s="30" t="str">
        <f>IF(Setup!$H$2=0,"EMPTY",IF(B867=0,"EMPTY",B867*Setup!$B$22*Setup!$G$6*Setup!$D$11))</f>
        <v>EMPTY</v>
      </c>
      <c r="E867" s="31">
        <f>IF(Setup!$H$2=0,-1,IF(A867=0,-1,A867*1/(Setup!$G$6)))</f>
        <v>-1</v>
      </c>
      <c r="F867" s="31"/>
    </row>
    <row r="868" spans="1:6" ht="15.75" x14ac:dyDescent="0.25">
      <c r="A868"/>
      <c r="B868"/>
      <c r="C868" s="29" t="str">
        <f>IF(B868=0,"EMPTY",Setup!$D$11*((PI()*2*Setup!$B$22*A868*B868)/33000))</f>
        <v>EMPTY</v>
      </c>
      <c r="D868" s="30" t="str">
        <f>IF(Setup!$H$2=0,"EMPTY",IF(B868=0,"EMPTY",B868*Setup!$B$22*Setup!$G$6*Setup!$D$11))</f>
        <v>EMPTY</v>
      </c>
      <c r="E868" s="31">
        <f>IF(Setup!$H$2=0,-1,IF(A868=0,-1,A868*1/(Setup!$G$6)))</f>
        <v>-1</v>
      </c>
      <c r="F868" s="31"/>
    </row>
    <row r="869" spans="1:6" ht="15.75" x14ac:dyDescent="0.25">
      <c r="A869"/>
      <c r="B869"/>
      <c r="C869" s="29" t="str">
        <f>IF(B869=0,"EMPTY",Setup!$D$11*((PI()*2*Setup!$B$22*A869*B869)/33000))</f>
        <v>EMPTY</v>
      </c>
      <c r="D869" s="30" t="str">
        <f>IF(Setup!$H$2=0,"EMPTY",IF(B869=0,"EMPTY",B869*Setup!$B$22*Setup!$G$6*Setup!$D$11))</f>
        <v>EMPTY</v>
      </c>
      <c r="E869" s="31">
        <f>IF(Setup!$H$2=0,-1,IF(A869=0,-1,A869*1/(Setup!$G$6)))</f>
        <v>-1</v>
      </c>
      <c r="F869" s="31"/>
    </row>
    <row r="870" spans="1:6" ht="15.75" x14ac:dyDescent="0.25">
      <c r="A870"/>
      <c r="B870"/>
      <c r="C870" s="29" t="str">
        <f>IF(B870=0,"EMPTY",Setup!$D$11*((PI()*2*Setup!$B$22*A870*B870)/33000))</f>
        <v>EMPTY</v>
      </c>
      <c r="D870" s="30" t="str">
        <f>IF(Setup!$H$2=0,"EMPTY",IF(B870=0,"EMPTY",B870*Setup!$B$22*Setup!$G$6*Setup!$D$11))</f>
        <v>EMPTY</v>
      </c>
      <c r="E870" s="31">
        <f>IF(Setup!$H$2=0,-1,IF(A870=0,-1,A870*1/(Setup!$G$6)))</f>
        <v>-1</v>
      </c>
      <c r="F870" s="31"/>
    </row>
    <row r="871" spans="1:6" ht="15.75" x14ac:dyDescent="0.25">
      <c r="A871"/>
      <c r="B871"/>
      <c r="C871" s="29" t="str">
        <f>IF(B871=0,"EMPTY",Setup!$D$11*((PI()*2*Setup!$B$22*A871*B871)/33000))</f>
        <v>EMPTY</v>
      </c>
      <c r="D871" s="30" t="str">
        <f>IF(Setup!$H$2=0,"EMPTY",IF(B871=0,"EMPTY",B871*Setup!$B$22*Setup!$G$6*Setup!$D$11))</f>
        <v>EMPTY</v>
      </c>
      <c r="E871" s="31">
        <f>IF(Setup!$H$2=0,-1,IF(A871=0,-1,A871*1/(Setup!$G$6)))</f>
        <v>-1</v>
      </c>
      <c r="F871" s="31"/>
    </row>
    <row r="872" spans="1:6" ht="15.75" x14ac:dyDescent="0.25">
      <c r="A872"/>
      <c r="B872"/>
      <c r="C872" s="29" t="str">
        <f>IF(B872=0,"EMPTY",Setup!$D$11*((PI()*2*Setup!$B$22*A872*B872)/33000))</f>
        <v>EMPTY</v>
      </c>
      <c r="D872" s="30" t="str">
        <f>IF(Setup!$H$2=0,"EMPTY",IF(B872=0,"EMPTY",B872*Setup!$B$22*Setup!$G$6*Setup!$D$11))</f>
        <v>EMPTY</v>
      </c>
      <c r="E872" s="31">
        <f>IF(Setup!$H$2=0,-1,IF(A872=0,-1,A872*1/(Setup!$G$6)))</f>
        <v>-1</v>
      </c>
      <c r="F872" s="31"/>
    </row>
    <row r="873" spans="1:6" ht="15.75" x14ac:dyDescent="0.25">
      <c r="A873"/>
      <c r="B873"/>
      <c r="C873" s="29" t="str">
        <f>IF(B873=0,"EMPTY",Setup!$D$11*((PI()*2*Setup!$B$22*A873*B873)/33000))</f>
        <v>EMPTY</v>
      </c>
      <c r="D873" s="30" t="str">
        <f>IF(Setup!$H$2=0,"EMPTY",IF(B873=0,"EMPTY",B873*Setup!$B$22*Setup!$G$6*Setup!$D$11))</f>
        <v>EMPTY</v>
      </c>
      <c r="E873" s="31">
        <f>IF(Setup!$H$2=0,-1,IF(A873=0,-1,A873*1/(Setup!$G$6)))</f>
        <v>-1</v>
      </c>
      <c r="F873" s="31"/>
    </row>
    <row r="874" spans="1:6" ht="15.75" x14ac:dyDescent="0.25">
      <c r="A874"/>
      <c r="B874"/>
      <c r="C874" s="29" t="str">
        <f>IF(B874=0,"EMPTY",Setup!$D$11*((PI()*2*Setup!$B$22*A874*B874)/33000))</f>
        <v>EMPTY</v>
      </c>
      <c r="D874" s="30" t="str">
        <f>IF(Setup!$H$2=0,"EMPTY",IF(B874=0,"EMPTY",B874*Setup!$B$22*Setup!$G$6*Setup!$D$11))</f>
        <v>EMPTY</v>
      </c>
      <c r="E874" s="31">
        <f>IF(Setup!$H$2=0,-1,IF(A874=0,-1,A874*1/(Setup!$G$6)))</f>
        <v>-1</v>
      </c>
      <c r="F874" s="31"/>
    </row>
    <row r="875" spans="1:6" ht="15.75" x14ac:dyDescent="0.25">
      <c r="A875"/>
      <c r="B875"/>
      <c r="C875" s="29" t="str">
        <f>IF(B875=0,"EMPTY",Setup!$D$11*((PI()*2*Setup!$B$22*A875*B875)/33000))</f>
        <v>EMPTY</v>
      </c>
      <c r="D875" s="30" t="str">
        <f>IF(Setup!$H$2=0,"EMPTY",IF(B875=0,"EMPTY",B875*Setup!$B$22*Setup!$G$6*Setup!$D$11))</f>
        <v>EMPTY</v>
      </c>
      <c r="E875" s="31">
        <f>IF(Setup!$H$2=0,-1,IF(A875=0,-1,A875*1/(Setup!$G$6)))</f>
        <v>-1</v>
      </c>
      <c r="F875" s="31"/>
    </row>
    <row r="876" spans="1:6" ht="15.75" x14ac:dyDescent="0.25">
      <c r="A876"/>
      <c r="B876"/>
      <c r="C876" s="29" t="str">
        <f>IF(B876=0,"EMPTY",Setup!$D$11*((PI()*2*Setup!$B$22*A876*B876)/33000))</f>
        <v>EMPTY</v>
      </c>
      <c r="D876" s="30" t="str">
        <f>IF(Setup!$H$2=0,"EMPTY",IF(B876=0,"EMPTY",B876*Setup!$B$22*Setup!$G$6*Setup!$D$11))</f>
        <v>EMPTY</v>
      </c>
      <c r="E876" s="31">
        <f>IF(Setup!$H$2=0,-1,IF(A876=0,-1,A876*1/(Setup!$G$6)))</f>
        <v>-1</v>
      </c>
      <c r="F876" s="31"/>
    </row>
    <row r="877" spans="1:6" ht="15.75" x14ac:dyDescent="0.25">
      <c r="A877"/>
      <c r="B877"/>
      <c r="C877" s="29" t="str">
        <f>IF(B877=0,"EMPTY",Setup!$D$11*((PI()*2*Setup!$B$22*A877*B877)/33000))</f>
        <v>EMPTY</v>
      </c>
      <c r="D877" s="30" t="str">
        <f>IF(Setup!$H$2=0,"EMPTY",IF(B877=0,"EMPTY",B877*Setup!$B$22*Setup!$G$6*Setup!$D$11))</f>
        <v>EMPTY</v>
      </c>
      <c r="E877" s="31">
        <f>IF(Setup!$H$2=0,-1,IF(A877=0,-1,A877*1/(Setup!$G$6)))</f>
        <v>-1</v>
      </c>
      <c r="F877" s="31"/>
    </row>
    <row r="878" spans="1:6" ht="15.75" x14ac:dyDescent="0.25">
      <c r="A878"/>
      <c r="B878"/>
      <c r="C878" s="29" t="str">
        <f>IF(B878=0,"EMPTY",Setup!$D$11*((PI()*2*Setup!$B$22*A878*B878)/33000))</f>
        <v>EMPTY</v>
      </c>
      <c r="D878" s="30" t="str">
        <f>IF(Setup!$H$2=0,"EMPTY",IF(B878=0,"EMPTY",B878*Setup!$B$22*Setup!$G$6*Setup!$D$11))</f>
        <v>EMPTY</v>
      </c>
      <c r="E878" s="31">
        <f>IF(Setup!$H$2=0,-1,IF(A878=0,-1,A878*1/(Setup!$G$6)))</f>
        <v>-1</v>
      </c>
      <c r="F878" s="31"/>
    </row>
    <row r="879" spans="1:6" ht="15.75" x14ac:dyDescent="0.25">
      <c r="A879"/>
      <c r="B879"/>
      <c r="C879" s="29" t="str">
        <f>IF(B879=0,"EMPTY",Setup!$D$11*((PI()*2*Setup!$B$22*A879*B879)/33000))</f>
        <v>EMPTY</v>
      </c>
      <c r="D879" s="30" t="str">
        <f>IF(Setup!$H$2=0,"EMPTY",IF(B879=0,"EMPTY",B879*Setup!$B$22*Setup!$G$6*Setup!$D$11))</f>
        <v>EMPTY</v>
      </c>
      <c r="E879" s="31">
        <f>IF(Setup!$H$2=0,-1,IF(A879=0,-1,A879*1/(Setup!$G$6)))</f>
        <v>-1</v>
      </c>
      <c r="F879" s="31"/>
    </row>
    <row r="880" spans="1:6" ht="15.75" x14ac:dyDescent="0.25">
      <c r="A880"/>
      <c r="B880"/>
      <c r="C880" s="29" t="str">
        <f>IF(B880=0,"EMPTY",Setup!$D$11*((PI()*2*Setup!$B$22*A880*B880)/33000))</f>
        <v>EMPTY</v>
      </c>
      <c r="D880" s="30" t="str">
        <f>IF(Setup!$H$2=0,"EMPTY",IF(B880=0,"EMPTY",B880*Setup!$B$22*Setup!$G$6*Setup!$D$11))</f>
        <v>EMPTY</v>
      </c>
      <c r="E880" s="31">
        <f>IF(Setup!$H$2=0,-1,IF(A880=0,-1,A880*1/(Setup!$G$6)))</f>
        <v>-1</v>
      </c>
      <c r="F880" s="31"/>
    </row>
    <row r="881" spans="1:6" ht="15.75" x14ac:dyDescent="0.25">
      <c r="A881"/>
      <c r="B881"/>
      <c r="C881" s="29" t="str">
        <f>IF(B881=0,"EMPTY",Setup!$D$11*((PI()*2*Setup!$B$22*A881*B881)/33000))</f>
        <v>EMPTY</v>
      </c>
      <c r="D881" s="30" t="str">
        <f>IF(Setup!$H$2=0,"EMPTY",IF(B881=0,"EMPTY",B881*Setup!$B$22*Setup!$G$6*Setup!$D$11))</f>
        <v>EMPTY</v>
      </c>
      <c r="E881" s="31">
        <f>IF(Setup!$H$2=0,-1,IF(A881=0,-1,A881*1/(Setup!$G$6)))</f>
        <v>-1</v>
      </c>
      <c r="F881" s="31"/>
    </row>
    <row r="882" spans="1:6" ht="15.75" x14ac:dyDescent="0.25">
      <c r="A882"/>
      <c r="B882"/>
      <c r="C882" s="29" t="str">
        <f>IF(B882=0,"EMPTY",Setup!$D$11*((PI()*2*Setup!$B$22*A882*B882)/33000))</f>
        <v>EMPTY</v>
      </c>
      <c r="D882" s="30" t="str">
        <f>IF(Setup!$H$2=0,"EMPTY",IF(B882=0,"EMPTY",B882*Setup!$B$22*Setup!$G$6*Setup!$D$11))</f>
        <v>EMPTY</v>
      </c>
      <c r="E882" s="31">
        <f>IF(Setup!$H$2=0,-1,IF(A882=0,-1,A882*1/(Setup!$G$6)))</f>
        <v>-1</v>
      </c>
      <c r="F882" s="31"/>
    </row>
    <row r="883" spans="1:6" ht="15.75" x14ac:dyDescent="0.25">
      <c r="A883"/>
      <c r="B883"/>
      <c r="C883" s="29" t="str">
        <f>IF(B883=0,"EMPTY",Setup!$D$11*((PI()*2*Setup!$B$22*A883*B883)/33000))</f>
        <v>EMPTY</v>
      </c>
      <c r="D883" s="30" t="str">
        <f>IF(Setup!$H$2=0,"EMPTY",IF(B883=0,"EMPTY",B883*Setup!$B$22*Setup!$G$6*Setup!$D$11))</f>
        <v>EMPTY</v>
      </c>
      <c r="E883" s="31">
        <f>IF(Setup!$H$2=0,-1,IF(A883=0,-1,A883*1/(Setup!$G$6)))</f>
        <v>-1</v>
      </c>
      <c r="F883" s="31"/>
    </row>
    <row r="884" spans="1:6" ht="15.75" x14ac:dyDescent="0.25">
      <c r="A884"/>
      <c r="B884"/>
      <c r="C884" s="29" t="str">
        <f>IF(B884=0,"EMPTY",Setup!$D$11*((PI()*2*Setup!$B$22*A884*B884)/33000))</f>
        <v>EMPTY</v>
      </c>
      <c r="D884" s="30" t="str">
        <f>IF(Setup!$H$2=0,"EMPTY",IF(B884=0,"EMPTY",B884*Setup!$B$22*Setup!$G$6*Setup!$D$11))</f>
        <v>EMPTY</v>
      </c>
      <c r="E884" s="31">
        <f>IF(Setup!$H$2=0,-1,IF(A884=0,-1,A884*1/(Setup!$G$6)))</f>
        <v>-1</v>
      </c>
      <c r="F884" s="31"/>
    </row>
    <row r="885" spans="1:6" ht="15.75" x14ac:dyDescent="0.25">
      <c r="A885"/>
      <c r="B885"/>
      <c r="C885" s="29" t="str">
        <f>IF(B885=0,"EMPTY",Setup!$D$11*((PI()*2*Setup!$B$22*A885*B885)/33000))</f>
        <v>EMPTY</v>
      </c>
      <c r="D885" s="30" t="str">
        <f>IF(Setup!$H$2=0,"EMPTY",IF(B885=0,"EMPTY",B885*Setup!$B$22*Setup!$G$6*Setup!$D$11))</f>
        <v>EMPTY</v>
      </c>
      <c r="E885" s="31">
        <f>IF(Setup!$H$2=0,-1,IF(A885=0,-1,A885*1/(Setup!$G$6)))</f>
        <v>-1</v>
      </c>
      <c r="F885" s="31"/>
    </row>
    <row r="886" spans="1:6" ht="15.75" x14ac:dyDescent="0.25">
      <c r="A886"/>
      <c r="B886"/>
      <c r="C886" s="29" t="str">
        <f>IF(B886=0,"EMPTY",Setup!$D$11*((PI()*2*Setup!$B$22*A886*B886)/33000))</f>
        <v>EMPTY</v>
      </c>
      <c r="D886" s="30" t="str">
        <f>IF(Setup!$H$2=0,"EMPTY",IF(B886=0,"EMPTY",B886*Setup!$B$22*Setup!$G$6*Setup!$D$11))</f>
        <v>EMPTY</v>
      </c>
      <c r="E886" s="31">
        <f>IF(Setup!$H$2=0,-1,IF(A886=0,-1,A886*1/(Setup!$G$6)))</f>
        <v>-1</v>
      </c>
      <c r="F886" s="31"/>
    </row>
    <row r="887" spans="1:6" ht="15.75" x14ac:dyDescent="0.25">
      <c r="A887"/>
      <c r="B887"/>
      <c r="C887" s="29" t="str">
        <f>IF(B887=0,"EMPTY",Setup!$D$11*((PI()*2*Setup!$B$22*A887*B887)/33000))</f>
        <v>EMPTY</v>
      </c>
      <c r="D887" s="30" t="str">
        <f>IF(Setup!$H$2=0,"EMPTY",IF(B887=0,"EMPTY",B887*Setup!$B$22*Setup!$G$6*Setup!$D$11))</f>
        <v>EMPTY</v>
      </c>
      <c r="E887" s="31">
        <f>IF(Setup!$H$2=0,-1,IF(A887=0,-1,A887*1/(Setup!$G$6)))</f>
        <v>-1</v>
      </c>
      <c r="F887" s="31"/>
    </row>
    <row r="888" spans="1:6" ht="15.75" x14ac:dyDescent="0.25">
      <c r="A888"/>
      <c r="B888"/>
      <c r="C888" s="29" t="str">
        <f>IF(B888=0,"EMPTY",Setup!$D$11*((PI()*2*Setup!$B$22*A888*B888)/33000))</f>
        <v>EMPTY</v>
      </c>
      <c r="D888" s="30" t="str">
        <f>IF(Setup!$H$2=0,"EMPTY",IF(B888=0,"EMPTY",B888*Setup!$B$22*Setup!$G$6*Setup!$D$11))</f>
        <v>EMPTY</v>
      </c>
      <c r="E888" s="31">
        <f>IF(Setup!$H$2=0,-1,IF(A888=0,-1,A888*1/(Setup!$G$6)))</f>
        <v>-1</v>
      </c>
      <c r="F888" s="31"/>
    </row>
    <row r="889" spans="1:6" ht="15.75" x14ac:dyDescent="0.25">
      <c r="A889"/>
      <c r="B889"/>
      <c r="C889" s="29" t="str">
        <f>IF(B889=0,"EMPTY",Setup!$D$11*((PI()*2*Setup!$B$22*A889*B889)/33000))</f>
        <v>EMPTY</v>
      </c>
      <c r="D889" s="30" t="str">
        <f>IF(Setup!$H$2=0,"EMPTY",IF(B889=0,"EMPTY",B889*Setup!$B$22*Setup!$G$6*Setup!$D$11))</f>
        <v>EMPTY</v>
      </c>
      <c r="E889" s="31">
        <f>IF(Setup!$H$2=0,-1,IF(A889=0,-1,A889*1/(Setup!$G$6)))</f>
        <v>-1</v>
      </c>
      <c r="F889" s="31"/>
    </row>
    <row r="890" spans="1:6" ht="15.75" x14ac:dyDescent="0.25">
      <c r="A890"/>
      <c r="B890"/>
      <c r="C890" s="29" t="str">
        <f>IF(B890=0,"EMPTY",Setup!$D$11*((PI()*2*Setup!$B$22*A890*B890)/33000))</f>
        <v>EMPTY</v>
      </c>
      <c r="D890" s="30" t="str">
        <f>IF(Setup!$H$2=0,"EMPTY",IF(B890=0,"EMPTY",B890*Setup!$B$22*Setup!$G$6*Setup!$D$11))</f>
        <v>EMPTY</v>
      </c>
      <c r="E890" s="31">
        <f>IF(Setup!$H$2=0,-1,IF(A890=0,-1,A890*1/(Setup!$G$6)))</f>
        <v>-1</v>
      </c>
      <c r="F890" s="31"/>
    </row>
    <row r="891" spans="1:6" ht="15.75" x14ac:dyDescent="0.25">
      <c r="A891"/>
      <c r="B891"/>
      <c r="C891" s="29" t="str">
        <f>IF(B891=0,"EMPTY",Setup!$D$11*((PI()*2*Setup!$B$22*A891*B891)/33000))</f>
        <v>EMPTY</v>
      </c>
      <c r="D891" s="30" t="str">
        <f>IF(Setup!$H$2=0,"EMPTY",IF(B891=0,"EMPTY",B891*Setup!$B$22*Setup!$G$6*Setup!$D$11))</f>
        <v>EMPTY</v>
      </c>
      <c r="E891" s="31">
        <f>IF(Setup!$H$2=0,-1,IF(A891=0,-1,A891*1/(Setup!$G$6)))</f>
        <v>-1</v>
      </c>
      <c r="F891" s="31"/>
    </row>
    <row r="892" spans="1:6" ht="15.75" x14ac:dyDescent="0.25">
      <c r="A892"/>
      <c r="B892"/>
      <c r="C892" s="29" t="str">
        <f>IF(B892=0,"EMPTY",Setup!$D$11*((PI()*2*Setup!$B$22*A892*B892)/33000))</f>
        <v>EMPTY</v>
      </c>
      <c r="D892" s="30" t="str">
        <f>IF(Setup!$H$2=0,"EMPTY",IF(B892=0,"EMPTY",B892*Setup!$B$22*Setup!$G$6*Setup!$D$11))</f>
        <v>EMPTY</v>
      </c>
      <c r="E892" s="31">
        <f>IF(Setup!$H$2=0,-1,IF(A892=0,-1,A892*1/(Setup!$G$6)))</f>
        <v>-1</v>
      </c>
      <c r="F892" s="31"/>
    </row>
    <row r="893" spans="1:6" ht="15.75" x14ac:dyDescent="0.25">
      <c r="A893"/>
      <c r="B893"/>
      <c r="C893" s="29" t="str">
        <f>IF(B893=0,"EMPTY",Setup!$D$11*((PI()*2*Setup!$B$22*A893*B893)/33000))</f>
        <v>EMPTY</v>
      </c>
      <c r="D893" s="30" t="str">
        <f>IF(Setup!$H$2=0,"EMPTY",IF(B893=0,"EMPTY",B893*Setup!$B$22*Setup!$G$6*Setup!$D$11))</f>
        <v>EMPTY</v>
      </c>
      <c r="E893" s="31">
        <f>IF(Setup!$H$2=0,-1,IF(A893=0,-1,A893*1/(Setup!$G$6)))</f>
        <v>-1</v>
      </c>
      <c r="F893" s="31"/>
    </row>
    <row r="894" spans="1:6" ht="15.75" x14ac:dyDescent="0.25">
      <c r="A894"/>
      <c r="B894"/>
      <c r="C894" s="29" t="str">
        <f>IF(B894=0,"EMPTY",Setup!$D$11*((PI()*2*Setup!$B$22*A894*B894)/33000))</f>
        <v>EMPTY</v>
      </c>
      <c r="D894" s="30" t="str">
        <f>IF(Setup!$H$2=0,"EMPTY",IF(B894=0,"EMPTY",B894*Setup!$B$22*Setup!$G$6*Setup!$D$11))</f>
        <v>EMPTY</v>
      </c>
      <c r="E894" s="31">
        <f>IF(Setup!$H$2=0,-1,IF(A894=0,-1,A894*1/(Setup!$G$6)))</f>
        <v>-1</v>
      </c>
      <c r="F894" s="31"/>
    </row>
    <row r="895" spans="1:6" ht="15.75" x14ac:dyDescent="0.25">
      <c r="A895"/>
      <c r="B895"/>
      <c r="C895" s="29" t="str">
        <f>IF(B895=0,"EMPTY",Setup!$D$11*((PI()*2*Setup!$B$22*A895*B895)/33000))</f>
        <v>EMPTY</v>
      </c>
      <c r="D895" s="30" t="str">
        <f>IF(Setup!$H$2=0,"EMPTY",IF(B895=0,"EMPTY",B895*Setup!$B$22*Setup!$G$6*Setup!$D$11))</f>
        <v>EMPTY</v>
      </c>
      <c r="E895" s="31">
        <f>IF(Setup!$H$2=0,-1,IF(A895=0,-1,A895*1/(Setup!$G$6)))</f>
        <v>-1</v>
      </c>
      <c r="F895" s="31"/>
    </row>
    <row r="896" spans="1:6" ht="15.75" x14ac:dyDescent="0.25">
      <c r="A896"/>
      <c r="B896"/>
      <c r="C896" s="29" t="str">
        <f>IF(B896=0,"EMPTY",Setup!$D$11*((PI()*2*Setup!$B$22*A896*B896)/33000))</f>
        <v>EMPTY</v>
      </c>
      <c r="D896" s="30" t="str">
        <f>IF(Setup!$H$2=0,"EMPTY",IF(B896=0,"EMPTY",B896*Setup!$B$22*Setup!$G$6*Setup!$D$11))</f>
        <v>EMPTY</v>
      </c>
      <c r="E896" s="31">
        <f>IF(Setup!$H$2=0,-1,IF(A896=0,-1,A896*1/(Setup!$G$6)))</f>
        <v>-1</v>
      </c>
      <c r="F896" s="31"/>
    </row>
    <row r="897" spans="1:6" ht="15.75" x14ac:dyDescent="0.25">
      <c r="A897"/>
      <c r="B897"/>
      <c r="C897" s="29" t="str">
        <f>IF(B897=0,"EMPTY",Setup!$D$11*((PI()*2*Setup!$B$22*A897*B897)/33000))</f>
        <v>EMPTY</v>
      </c>
      <c r="D897" s="30" t="str">
        <f>IF(Setup!$H$2=0,"EMPTY",IF(B897=0,"EMPTY",B897*Setup!$B$22*Setup!$G$6*Setup!$D$11))</f>
        <v>EMPTY</v>
      </c>
      <c r="E897" s="31">
        <f>IF(Setup!$H$2=0,-1,IF(A897=0,-1,A897*1/(Setup!$G$6)))</f>
        <v>-1</v>
      </c>
      <c r="F897" s="31"/>
    </row>
    <row r="898" spans="1:6" ht="15.75" x14ac:dyDescent="0.25">
      <c r="A898"/>
      <c r="B898"/>
      <c r="C898" s="29" t="str">
        <f>IF(B898=0,"EMPTY",Setup!$D$11*((PI()*2*Setup!$B$22*A898*B898)/33000))</f>
        <v>EMPTY</v>
      </c>
      <c r="D898" s="30" t="str">
        <f>IF(Setup!$H$2=0,"EMPTY",IF(B898=0,"EMPTY",B898*Setup!$B$22*Setup!$G$6*Setup!$D$11))</f>
        <v>EMPTY</v>
      </c>
      <c r="E898" s="31">
        <f>IF(Setup!$H$2=0,-1,IF(A898=0,-1,A898*1/(Setup!$G$6)))</f>
        <v>-1</v>
      </c>
      <c r="F898" s="31"/>
    </row>
    <row r="899" spans="1:6" ht="15.75" x14ac:dyDescent="0.25">
      <c r="A899"/>
      <c r="B899"/>
      <c r="C899" s="29" t="str">
        <f>IF(B899=0,"EMPTY",Setup!$D$11*((PI()*2*Setup!$B$22*A899*B899)/33000))</f>
        <v>EMPTY</v>
      </c>
      <c r="D899" s="30" t="str">
        <f>IF(Setup!$H$2=0,"EMPTY",IF(B899=0,"EMPTY",B899*Setup!$B$22*Setup!$G$6*Setup!$D$11))</f>
        <v>EMPTY</v>
      </c>
      <c r="E899" s="31">
        <f>IF(Setup!$H$2=0,-1,IF(A899=0,-1,A899*1/(Setup!$G$6)))</f>
        <v>-1</v>
      </c>
      <c r="F899" s="31"/>
    </row>
    <row r="900" spans="1:6" ht="15.75" x14ac:dyDescent="0.25">
      <c r="A900"/>
      <c r="B900"/>
      <c r="C900" s="29" t="str">
        <f>IF(B900=0,"EMPTY",Setup!$D$11*((PI()*2*Setup!$B$22*A900*B900)/33000))</f>
        <v>EMPTY</v>
      </c>
      <c r="D900" s="30" t="str">
        <f>IF(Setup!$H$2=0,"EMPTY",IF(B900=0,"EMPTY",B900*Setup!$B$22*Setup!$G$6*Setup!$D$11))</f>
        <v>EMPTY</v>
      </c>
      <c r="E900" s="31">
        <f>IF(Setup!$H$2=0,-1,IF(A900=0,-1,A900*1/(Setup!$G$6)))</f>
        <v>-1</v>
      </c>
      <c r="F900" s="31"/>
    </row>
    <row r="901" spans="1:6" ht="15.75" x14ac:dyDescent="0.25">
      <c r="A901"/>
      <c r="B901"/>
      <c r="C901" s="29" t="str">
        <f>IF(B901=0,"EMPTY",Setup!$D$11*((PI()*2*Setup!$B$22*A901*B901)/33000))</f>
        <v>EMPTY</v>
      </c>
      <c r="D901" s="30" t="str">
        <f>IF(Setup!$H$2=0,"EMPTY",IF(B901=0,"EMPTY",B901*Setup!$B$22*Setup!$G$6*Setup!$D$11))</f>
        <v>EMPTY</v>
      </c>
      <c r="E901" s="31">
        <f>IF(Setup!$H$2=0,-1,IF(A901=0,-1,A901*1/(Setup!$G$6)))</f>
        <v>-1</v>
      </c>
      <c r="F901" s="31"/>
    </row>
    <row r="902" spans="1:6" ht="15.75" x14ac:dyDescent="0.25">
      <c r="A902"/>
      <c r="B902"/>
      <c r="C902" s="29" t="str">
        <f>IF(B902=0,"EMPTY",Setup!$D$11*((PI()*2*Setup!$B$22*A902*B902)/33000))</f>
        <v>EMPTY</v>
      </c>
      <c r="D902" s="30" t="str">
        <f>IF(Setup!$H$2=0,"EMPTY",IF(B902=0,"EMPTY",B902*Setup!$B$22*Setup!$G$6*Setup!$D$11))</f>
        <v>EMPTY</v>
      </c>
      <c r="E902" s="31">
        <f>IF(Setup!$H$2=0,-1,IF(A902=0,-1,A902*1/(Setup!$G$6)))</f>
        <v>-1</v>
      </c>
      <c r="F902" s="31"/>
    </row>
    <row r="903" spans="1:6" ht="15.75" x14ac:dyDescent="0.25">
      <c r="A903"/>
      <c r="B903"/>
      <c r="C903" s="29" t="str">
        <f>IF(B903=0,"EMPTY",Setup!$D$11*((PI()*2*Setup!$B$22*A903*B903)/33000))</f>
        <v>EMPTY</v>
      </c>
      <c r="D903" s="30" t="str">
        <f>IF(Setup!$H$2=0,"EMPTY",IF(B903=0,"EMPTY",B903*Setup!$B$22*Setup!$G$6*Setup!$D$11))</f>
        <v>EMPTY</v>
      </c>
      <c r="E903" s="31">
        <f>IF(Setup!$H$2=0,-1,IF(A903=0,-1,A903*1/(Setup!$G$6)))</f>
        <v>-1</v>
      </c>
      <c r="F903" s="31"/>
    </row>
    <row r="904" spans="1:6" ht="15.75" x14ac:dyDescent="0.25">
      <c r="A904"/>
      <c r="B904"/>
      <c r="C904" s="29" t="str">
        <f>IF(B904=0,"EMPTY",Setup!$D$11*((PI()*2*Setup!$B$22*A904*B904)/33000))</f>
        <v>EMPTY</v>
      </c>
      <c r="D904" s="30" t="str">
        <f>IF(Setup!$H$2=0,"EMPTY",IF(B904=0,"EMPTY",B904*Setup!$B$22*Setup!$G$6*Setup!$D$11))</f>
        <v>EMPTY</v>
      </c>
      <c r="E904" s="31">
        <f>IF(Setup!$H$2=0,-1,IF(A904=0,-1,A904*1/(Setup!$G$6)))</f>
        <v>-1</v>
      </c>
      <c r="F904" s="31"/>
    </row>
    <row r="905" spans="1:6" ht="15.75" x14ac:dyDescent="0.25">
      <c r="A905"/>
      <c r="B905"/>
      <c r="C905" s="29" t="str">
        <f>IF(B905=0,"EMPTY",Setup!$D$11*((PI()*2*Setup!$B$22*A905*B905)/33000))</f>
        <v>EMPTY</v>
      </c>
      <c r="D905" s="30" t="str">
        <f>IF(Setup!$H$2=0,"EMPTY",IF(B905=0,"EMPTY",B905*Setup!$B$22*Setup!$G$6*Setup!$D$11))</f>
        <v>EMPTY</v>
      </c>
      <c r="E905" s="31">
        <f>IF(Setup!$H$2=0,-1,IF(A905=0,-1,A905*1/(Setup!$G$6)))</f>
        <v>-1</v>
      </c>
      <c r="F905" s="31"/>
    </row>
    <row r="906" spans="1:6" ht="15.75" x14ac:dyDescent="0.25">
      <c r="A906"/>
      <c r="B906"/>
      <c r="C906" s="29" t="str">
        <f>IF(B906=0,"EMPTY",Setup!$D$11*((PI()*2*Setup!$B$22*A906*B906)/33000))</f>
        <v>EMPTY</v>
      </c>
      <c r="D906" s="30" t="str">
        <f>IF(Setup!$H$2=0,"EMPTY",IF(B906=0,"EMPTY",B906*Setup!$B$22*Setup!$G$6*Setup!$D$11))</f>
        <v>EMPTY</v>
      </c>
      <c r="E906" s="31">
        <f>IF(Setup!$H$2=0,-1,IF(A906=0,-1,A906*1/(Setup!$G$6)))</f>
        <v>-1</v>
      </c>
      <c r="F906" s="31"/>
    </row>
    <row r="907" spans="1:6" ht="15.75" x14ac:dyDescent="0.25">
      <c r="A907"/>
      <c r="B907"/>
      <c r="C907" s="29" t="str">
        <f>IF(B907=0,"EMPTY",Setup!$D$11*((PI()*2*Setup!$B$22*A907*B907)/33000))</f>
        <v>EMPTY</v>
      </c>
      <c r="D907" s="30" t="str">
        <f>IF(Setup!$H$2=0,"EMPTY",IF(B907=0,"EMPTY",B907*Setup!$B$22*Setup!$G$6*Setup!$D$11))</f>
        <v>EMPTY</v>
      </c>
      <c r="E907" s="31">
        <f>IF(Setup!$H$2=0,-1,IF(A907=0,-1,A907*1/(Setup!$G$6)))</f>
        <v>-1</v>
      </c>
      <c r="F907" s="31"/>
    </row>
    <row r="908" spans="1:6" ht="15.75" x14ac:dyDescent="0.25">
      <c r="A908"/>
      <c r="B908"/>
      <c r="C908" s="29" t="str">
        <f>IF(B908=0,"EMPTY",Setup!$D$11*((PI()*2*Setup!$B$22*A908*B908)/33000))</f>
        <v>EMPTY</v>
      </c>
      <c r="D908" s="30" t="str">
        <f>IF(Setup!$H$2=0,"EMPTY",IF(B908=0,"EMPTY",B908*Setup!$B$22*Setup!$G$6*Setup!$D$11))</f>
        <v>EMPTY</v>
      </c>
      <c r="E908" s="31">
        <f>IF(Setup!$H$2=0,-1,IF(A908=0,-1,A908*1/(Setup!$G$6)))</f>
        <v>-1</v>
      </c>
      <c r="F908" s="31"/>
    </row>
    <row r="909" spans="1:6" ht="15.75" x14ac:dyDescent="0.25">
      <c r="A909"/>
      <c r="B909"/>
      <c r="C909" s="29" t="str">
        <f>IF(B909=0,"EMPTY",Setup!$D$11*((PI()*2*Setup!$B$22*A909*B909)/33000))</f>
        <v>EMPTY</v>
      </c>
      <c r="D909" s="30" t="str">
        <f>IF(Setup!$H$2=0,"EMPTY",IF(B909=0,"EMPTY",B909*Setup!$B$22*Setup!$G$6*Setup!$D$11))</f>
        <v>EMPTY</v>
      </c>
      <c r="E909" s="31">
        <f>IF(Setup!$H$2=0,-1,IF(A909=0,-1,A909*1/(Setup!$G$6)))</f>
        <v>-1</v>
      </c>
      <c r="F909" s="31"/>
    </row>
    <row r="910" spans="1:6" ht="15.75" x14ac:dyDescent="0.25">
      <c r="A910"/>
      <c r="B910"/>
      <c r="C910" s="29" t="str">
        <f>IF(B910=0,"EMPTY",Setup!$D$11*((PI()*2*Setup!$B$22*A910*B910)/33000))</f>
        <v>EMPTY</v>
      </c>
      <c r="D910" s="30" t="str">
        <f>IF(Setup!$H$2=0,"EMPTY",IF(B910=0,"EMPTY",B910*Setup!$B$22*Setup!$G$6*Setup!$D$11))</f>
        <v>EMPTY</v>
      </c>
      <c r="E910" s="31">
        <f>IF(Setup!$H$2=0,-1,IF(A910=0,-1,A910*1/(Setup!$G$6)))</f>
        <v>-1</v>
      </c>
      <c r="F910" s="31"/>
    </row>
    <row r="911" spans="1:6" ht="15.75" x14ac:dyDescent="0.25">
      <c r="A911"/>
      <c r="B911"/>
      <c r="C911" s="29" t="str">
        <f>IF(B911=0,"EMPTY",Setup!$D$11*((PI()*2*Setup!$B$22*A911*B911)/33000))</f>
        <v>EMPTY</v>
      </c>
      <c r="D911" s="30" t="str">
        <f>IF(Setup!$H$2=0,"EMPTY",IF(B911=0,"EMPTY",B911*Setup!$B$22*Setup!$G$6*Setup!$D$11))</f>
        <v>EMPTY</v>
      </c>
      <c r="E911" s="31">
        <f>IF(Setup!$H$2=0,-1,IF(A911=0,-1,A911*1/(Setup!$G$6)))</f>
        <v>-1</v>
      </c>
      <c r="F911" s="31"/>
    </row>
    <row r="912" spans="1:6" ht="15.75" x14ac:dyDescent="0.25">
      <c r="A912"/>
      <c r="B912"/>
      <c r="C912" s="29" t="str">
        <f>IF(B912=0,"EMPTY",Setup!$D$11*((PI()*2*Setup!$B$22*A912*B912)/33000))</f>
        <v>EMPTY</v>
      </c>
      <c r="D912" s="30" t="str">
        <f>IF(Setup!$H$2=0,"EMPTY",IF(B912=0,"EMPTY",B912*Setup!$B$22*Setup!$G$6*Setup!$D$11))</f>
        <v>EMPTY</v>
      </c>
      <c r="E912" s="31">
        <f>IF(Setup!$H$2=0,-1,IF(A912=0,-1,A912*1/(Setup!$G$6)))</f>
        <v>-1</v>
      </c>
      <c r="F912" s="31"/>
    </row>
    <row r="913" spans="1:6" ht="15.75" x14ac:dyDescent="0.25">
      <c r="A913"/>
      <c r="B913"/>
      <c r="C913" s="29" t="str">
        <f>IF(B913=0,"EMPTY",Setup!$D$11*((PI()*2*Setup!$B$22*A913*B913)/33000))</f>
        <v>EMPTY</v>
      </c>
      <c r="D913" s="30" t="str">
        <f>IF(Setup!$H$2=0,"EMPTY",IF(B913=0,"EMPTY",B913*Setup!$B$22*Setup!$G$6*Setup!$D$11))</f>
        <v>EMPTY</v>
      </c>
      <c r="E913" s="31">
        <f>IF(Setup!$H$2=0,-1,IF(A913=0,-1,A913*1/(Setup!$G$6)))</f>
        <v>-1</v>
      </c>
      <c r="F913" s="31"/>
    </row>
    <row r="914" spans="1:6" ht="15.75" x14ac:dyDescent="0.25">
      <c r="A914"/>
      <c r="B914"/>
      <c r="C914" s="29" t="str">
        <f>IF(B914=0,"EMPTY",Setup!$D$11*((PI()*2*Setup!$B$22*A914*B914)/33000))</f>
        <v>EMPTY</v>
      </c>
      <c r="D914" s="30" t="str">
        <f>IF(Setup!$H$2=0,"EMPTY",IF(B914=0,"EMPTY",B914*Setup!$B$22*Setup!$G$6*Setup!$D$11))</f>
        <v>EMPTY</v>
      </c>
      <c r="E914" s="31">
        <f>IF(Setup!$H$2=0,-1,IF(A914=0,-1,A914*1/(Setup!$G$6)))</f>
        <v>-1</v>
      </c>
      <c r="F914" s="31"/>
    </row>
    <row r="915" spans="1:6" ht="15.75" x14ac:dyDescent="0.25">
      <c r="A915"/>
      <c r="B915"/>
      <c r="C915" s="29" t="str">
        <f>IF(B915=0,"EMPTY",Setup!$D$11*((PI()*2*Setup!$B$22*A915*B915)/33000))</f>
        <v>EMPTY</v>
      </c>
      <c r="D915" s="30" t="str">
        <f>IF(Setup!$H$2=0,"EMPTY",IF(B915=0,"EMPTY",B915*Setup!$B$22*Setup!$G$6*Setup!$D$11))</f>
        <v>EMPTY</v>
      </c>
      <c r="E915" s="31">
        <f>IF(Setup!$H$2=0,-1,IF(A915=0,-1,A915*1/(Setup!$G$6)))</f>
        <v>-1</v>
      </c>
      <c r="F915" s="31"/>
    </row>
    <row r="916" spans="1:6" ht="15.75" x14ac:dyDescent="0.25">
      <c r="A916"/>
      <c r="B916"/>
      <c r="C916" s="29" t="str">
        <f>IF(B916=0,"EMPTY",Setup!$D$11*((PI()*2*Setup!$B$22*A916*B916)/33000))</f>
        <v>EMPTY</v>
      </c>
      <c r="D916" s="30" t="str">
        <f>IF(Setup!$H$2=0,"EMPTY",IF(B916=0,"EMPTY",B916*Setup!$B$22*Setup!$G$6*Setup!$D$11))</f>
        <v>EMPTY</v>
      </c>
      <c r="E916" s="31">
        <f>IF(Setup!$H$2=0,-1,IF(A916=0,-1,A916*1/(Setup!$G$6)))</f>
        <v>-1</v>
      </c>
      <c r="F916" s="31"/>
    </row>
    <row r="917" spans="1:6" ht="15.75" x14ac:dyDescent="0.25">
      <c r="A917"/>
      <c r="B917"/>
      <c r="C917" s="29" t="str">
        <f>IF(B917=0,"EMPTY",Setup!$D$11*((PI()*2*Setup!$B$22*A917*B917)/33000))</f>
        <v>EMPTY</v>
      </c>
      <c r="D917" s="30" t="str">
        <f>IF(Setup!$H$2=0,"EMPTY",IF(B917=0,"EMPTY",B917*Setup!$B$22*Setup!$G$6*Setup!$D$11))</f>
        <v>EMPTY</v>
      </c>
      <c r="E917" s="31">
        <f>IF(Setup!$H$2=0,-1,IF(A917=0,-1,A917*1/(Setup!$G$6)))</f>
        <v>-1</v>
      </c>
      <c r="F917" s="31"/>
    </row>
    <row r="918" spans="1:6" ht="15.75" x14ac:dyDescent="0.25">
      <c r="A918"/>
      <c r="B918"/>
      <c r="C918" s="29" t="str">
        <f>IF(B918=0,"EMPTY",Setup!$D$11*((PI()*2*Setup!$B$22*A918*B918)/33000))</f>
        <v>EMPTY</v>
      </c>
      <c r="D918" s="30" t="str">
        <f>IF(Setup!$H$2=0,"EMPTY",IF(B918=0,"EMPTY",B918*Setup!$B$22*Setup!$G$6*Setup!$D$11))</f>
        <v>EMPTY</v>
      </c>
      <c r="E918" s="31">
        <f>IF(Setup!$H$2=0,-1,IF(A918=0,-1,A918*1/(Setup!$G$6)))</f>
        <v>-1</v>
      </c>
      <c r="F918" s="31"/>
    </row>
    <row r="919" spans="1:6" ht="15.75" x14ac:dyDescent="0.25">
      <c r="A919"/>
      <c r="B919"/>
      <c r="C919" s="29" t="str">
        <f>IF(B919=0,"EMPTY",Setup!$D$11*((PI()*2*Setup!$B$22*A919*B919)/33000))</f>
        <v>EMPTY</v>
      </c>
      <c r="D919" s="30" t="str">
        <f>IF(Setup!$H$2=0,"EMPTY",IF(B919=0,"EMPTY",B919*Setup!$B$22*Setup!$G$6*Setup!$D$11))</f>
        <v>EMPTY</v>
      </c>
      <c r="E919" s="31">
        <f>IF(Setup!$H$2=0,-1,IF(A919=0,-1,A919*1/(Setup!$G$6)))</f>
        <v>-1</v>
      </c>
      <c r="F919" s="31"/>
    </row>
    <row r="920" spans="1:6" ht="15.75" x14ac:dyDescent="0.25">
      <c r="A920"/>
      <c r="B920"/>
      <c r="C920" s="29" t="str">
        <f>IF(B920=0,"EMPTY",Setup!$D$11*((PI()*2*Setup!$B$22*A920*B920)/33000))</f>
        <v>EMPTY</v>
      </c>
      <c r="D920" s="30" t="str">
        <f>IF(Setup!$H$2=0,"EMPTY",IF(B920=0,"EMPTY",B920*Setup!$B$22*Setup!$G$6*Setup!$D$11))</f>
        <v>EMPTY</v>
      </c>
      <c r="E920" s="31">
        <f>IF(Setup!$H$2=0,-1,IF(A920=0,-1,A920*1/(Setup!$G$6)))</f>
        <v>-1</v>
      </c>
      <c r="F920" s="31"/>
    </row>
    <row r="921" spans="1:6" ht="15.75" x14ac:dyDescent="0.25">
      <c r="A921"/>
      <c r="B921"/>
      <c r="C921" s="29" t="str">
        <f>IF(B921=0,"EMPTY",Setup!$D$11*((PI()*2*Setup!$B$22*A921*B921)/33000))</f>
        <v>EMPTY</v>
      </c>
      <c r="D921" s="30" t="str">
        <f>IF(Setup!$H$2=0,"EMPTY",IF(B921=0,"EMPTY",B921*Setup!$B$22*Setup!$G$6*Setup!$D$11))</f>
        <v>EMPTY</v>
      </c>
      <c r="E921" s="31">
        <f>IF(Setup!$H$2=0,-1,IF(A921=0,-1,A921*1/(Setup!$G$6)))</f>
        <v>-1</v>
      </c>
      <c r="F921" s="31"/>
    </row>
    <row r="922" spans="1:6" ht="15.75" x14ac:dyDescent="0.25">
      <c r="A922"/>
      <c r="B922"/>
      <c r="C922" s="29" t="str">
        <f>IF(B922=0,"EMPTY",Setup!$D$11*((PI()*2*Setup!$B$22*A922*B922)/33000))</f>
        <v>EMPTY</v>
      </c>
      <c r="D922" s="30" t="str">
        <f>IF(Setup!$H$2=0,"EMPTY",IF(B922=0,"EMPTY",B922*Setup!$B$22*Setup!$G$6*Setup!$D$11))</f>
        <v>EMPTY</v>
      </c>
      <c r="E922" s="31">
        <f>IF(Setup!$H$2=0,-1,IF(A922=0,-1,A922*1/(Setup!$G$6)))</f>
        <v>-1</v>
      </c>
      <c r="F922" s="31"/>
    </row>
    <row r="923" spans="1:6" ht="15.75" x14ac:dyDescent="0.25">
      <c r="A923"/>
      <c r="B923"/>
      <c r="C923" s="29" t="str">
        <f>IF(B923=0,"EMPTY",Setup!$D$11*((PI()*2*Setup!$B$22*A923*B923)/33000))</f>
        <v>EMPTY</v>
      </c>
      <c r="D923" s="30" t="str">
        <f>IF(Setup!$H$2=0,"EMPTY",IF(B923=0,"EMPTY",B923*Setup!$B$22*Setup!$G$6*Setup!$D$11))</f>
        <v>EMPTY</v>
      </c>
      <c r="E923" s="31">
        <f>IF(Setup!$H$2=0,-1,IF(A923=0,-1,A923*1/(Setup!$G$6)))</f>
        <v>-1</v>
      </c>
      <c r="F923" s="31"/>
    </row>
    <row r="924" spans="1:6" ht="15.75" x14ac:dyDescent="0.25">
      <c r="A924"/>
      <c r="B924"/>
      <c r="C924" s="29" t="str">
        <f>IF(B924=0,"EMPTY",Setup!$D$11*((PI()*2*Setup!$B$22*A924*B924)/33000))</f>
        <v>EMPTY</v>
      </c>
      <c r="D924" s="30" t="str">
        <f>IF(Setup!$H$2=0,"EMPTY",IF(B924=0,"EMPTY",B924*Setup!$B$22*Setup!$G$6*Setup!$D$11))</f>
        <v>EMPTY</v>
      </c>
      <c r="E924" s="31">
        <f>IF(Setup!$H$2=0,-1,IF(A924=0,-1,A924*1/(Setup!$G$6)))</f>
        <v>-1</v>
      </c>
      <c r="F924" s="31"/>
    </row>
    <row r="925" spans="1:6" ht="15.75" x14ac:dyDescent="0.25">
      <c r="A925"/>
      <c r="B925"/>
      <c r="C925" s="29" t="str">
        <f>IF(B925=0,"EMPTY",Setup!$D$11*((PI()*2*Setup!$B$22*A925*B925)/33000))</f>
        <v>EMPTY</v>
      </c>
      <c r="D925" s="30" t="str">
        <f>IF(Setup!$H$2=0,"EMPTY",IF(B925=0,"EMPTY",B925*Setup!$B$22*Setup!$G$6*Setup!$D$11))</f>
        <v>EMPTY</v>
      </c>
      <c r="E925" s="31">
        <f>IF(Setup!$H$2=0,-1,IF(A925=0,-1,A925*1/(Setup!$G$6)))</f>
        <v>-1</v>
      </c>
      <c r="F925" s="31"/>
    </row>
    <row r="926" spans="1:6" ht="15.75" x14ac:dyDescent="0.25">
      <c r="A926"/>
      <c r="B926"/>
      <c r="C926" s="29" t="str">
        <f>IF(B926=0,"EMPTY",Setup!$D$11*((PI()*2*Setup!$B$22*A926*B926)/33000))</f>
        <v>EMPTY</v>
      </c>
      <c r="D926" s="30" t="str">
        <f>IF(Setup!$H$2=0,"EMPTY",IF(B926=0,"EMPTY",B926*Setup!$B$22*Setup!$G$6*Setup!$D$11))</f>
        <v>EMPTY</v>
      </c>
      <c r="E926" s="31">
        <f>IF(Setup!$H$2=0,-1,IF(A926=0,-1,A926*1/(Setup!$G$6)))</f>
        <v>-1</v>
      </c>
      <c r="F926" s="31"/>
    </row>
    <row r="927" spans="1:6" ht="15.75" x14ac:dyDescent="0.25">
      <c r="A927"/>
      <c r="B927"/>
      <c r="C927" s="29" t="str">
        <f>IF(B927=0,"EMPTY",Setup!$D$11*((PI()*2*Setup!$B$22*A927*B927)/33000))</f>
        <v>EMPTY</v>
      </c>
      <c r="D927" s="30" t="str">
        <f>IF(Setup!$H$2=0,"EMPTY",IF(B927=0,"EMPTY",B927*Setup!$B$22*Setup!$G$6*Setup!$D$11))</f>
        <v>EMPTY</v>
      </c>
      <c r="E927" s="31">
        <f>IF(Setup!$H$2=0,-1,IF(A927=0,-1,A927*1/(Setup!$G$6)))</f>
        <v>-1</v>
      </c>
      <c r="F927" s="31"/>
    </row>
    <row r="928" spans="1:6" ht="15.75" x14ac:dyDescent="0.25">
      <c r="A928"/>
      <c r="B928"/>
      <c r="C928" s="29" t="str">
        <f>IF(B928=0,"EMPTY",Setup!$D$11*((PI()*2*Setup!$B$22*A928*B928)/33000))</f>
        <v>EMPTY</v>
      </c>
      <c r="D928" s="30" t="str">
        <f>IF(Setup!$H$2=0,"EMPTY",IF(B928=0,"EMPTY",B928*Setup!$B$22*Setup!$G$6*Setup!$D$11))</f>
        <v>EMPTY</v>
      </c>
      <c r="E928" s="31">
        <f>IF(Setup!$H$2=0,-1,IF(A928=0,-1,A928*1/(Setup!$G$6)))</f>
        <v>-1</v>
      </c>
      <c r="F928" s="31"/>
    </row>
    <row r="929" spans="1:6" ht="15.75" x14ac:dyDescent="0.25">
      <c r="A929"/>
      <c r="B929"/>
      <c r="C929" s="29" t="str">
        <f>IF(B929=0,"EMPTY",Setup!$D$11*((PI()*2*Setup!$B$22*A929*B929)/33000))</f>
        <v>EMPTY</v>
      </c>
      <c r="D929" s="30" t="str">
        <f>IF(Setup!$H$2=0,"EMPTY",IF(B929=0,"EMPTY",B929*Setup!$B$22*Setup!$G$6*Setup!$D$11))</f>
        <v>EMPTY</v>
      </c>
      <c r="E929" s="31">
        <f>IF(Setup!$H$2=0,-1,IF(A929=0,-1,A929*1/(Setup!$G$6)))</f>
        <v>-1</v>
      </c>
      <c r="F929" s="31"/>
    </row>
    <row r="930" spans="1:6" ht="15.75" x14ac:dyDescent="0.25">
      <c r="A930"/>
      <c r="B930"/>
      <c r="C930" s="29" t="str">
        <f>IF(B930=0,"EMPTY",Setup!$D$11*((PI()*2*Setup!$B$22*A930*B930)/33000))</f>
        <v>EMPTY</v>
      </c>
      <c r="D930" s="30" t="str">
        <f>IF(Setup!$H$2=0,"EMPTY",IF(B930=0,"EMPTY",B930*Setup!$B$22*Setup!$G$6*Setup!$D$11))</f>
        <v>EMPTY</v>
      </c>
      <c r="E930" s="31">
        <f>IF(Setup!$H$2=0,-1,IF(A930=0,-1,A930*1/(Setup!$G$6)))</f>
        <v>-1</v>
      </c>
      <c r="F930" s="31"/>
    </row>
    <row r="931" spans="1:6" ht="15.75" x14ac:dyDescent="0.25">
      <c r="A931"/>
      <c r="B931"/>
      <c r="C931" s="29" t="str">
        <f>IF(B931=0,"EMPTY",Setup!$D$11*((PI()*2*Setup!$B$22*A931*B931)/33000))</f>
        <v>EMPTY</v>
      </c>
      <c r="D931" s="30" t="str">
        <f>IF(Setup!$H$2=0,"EMPTY",IF(B931=0,"EMPTY",B931*Setup!$B$22*Setup!$G$6*Setup!$D$11))</f>
        <v>EMPTY</v>
      </c>
      <c r="E931" s="31">
        <f>IF(Setup!$H$2=0,-1,IF(A931=0,-1,A931*1/(Setup!$G$6)))</f>
        <v>-1</v>
      </c>
      <c r="F931" s="31"/>
    </row>
    <row r="932" spans="1:6" ht="15.75" x14ac:dyDescent="0.25">
      <c r="A932"/>
      <c r="B932"/>
      <c r="C932" s="29" t="str">
        <f>IF(B932=0,"EMPTY",Setup!$D$11*((PI()*2*Setup!$B$22*A932*B932)/33000))</f>
        <v>EMPTY</v>
      </c>
      <c r="D932" s="30" t="str">
        <f>IF(Setup!$H$2=0,"EMPTY",IF(B932=0,"EMPTY",B932*Setup!$B$22*Setup!$G$6*Setup!$D$11))</f>
        <v>EMPTY</v>
      </c>
      <c r="E932" s="31">
        <f>IF(Setup!$H$2=0,-1,IF(A932=0,-1,A932*1/(Setup!$G$6)))</f>
        <v>-1</v>
      </c>
      <c r="F932" s="31"/>
    </row>
    <row r="933" spans="1:6" ht="15.75" x14ac:dyDescent="0.25">
      <c r="A933"/>
      <c r="B933"/>
      <c r="C933" s="29" t="str">
        <f>IF(B933=0,"EMPTY",Setup!$D$11*((PI()*2*Setup!$B$22*A933*B933)/33000))</f>
        <v>EMPTY</v>
      </c>
      <c r="D933" s="30" t="str">
        <f>IF(Setup!$H$2=0,"EMPTY",IF(B933=0,"EMPTY",B933*Setup!$B$22*Setup!$G$6*Setup!$D$11))</f>
        <v>EMPTY</v>
      </c>
      <c r="E933" s="31">
        <f>IF(Setup!$H$2=0,-1,IF(A933=0,-1,A933*1/(Setup!$G$6)))</f>
        <v>-1</v>
      </c>
      <c r="F933" s="31"/>
    </row>
    <row r="934" spans="1:6" ht="15.75" x14ac:dyDescent="0.25">
      <c r="A934"/>
      <c r="B934"/>
      <c r="C934" s="29" t="str">
        <f>IF(B934=0,"EMPTY",Setup!$D$11*((PI()*2*Setup!$B$22*A934*B934)/33000))</f>
        <v>EMPTY</v>
      </c>
      <c r="D934" s="30" t="str">
        <f>IF(Setup!$H$2=0,"EMPTY",IF(B934=0,"EMPTY",B934*Setup!$B$22*Setup!$G$6*Setup!$D$11))</f>
        <v>EMPTY</v>
      </c>
      <c r="E934" s="31">
        <f>IF(Setup!$H$2=0,-1,IF(A934=0,-1,A934*1/(Setup!$G$6)))</f>
        <v>-1</v>
      </c>
      <c r="F934" s="31"/>
    </row>
    <row r="935" spans="1:6" ht="15.75" x14ac:dyDescent="0.25">
      <c r="A935"/>
      <c r="B935"/>
      <c r="C935" s="29" t="str">
        <f>IF(B935=0,"EMPTY",Setup!$D$11*((PI()*2*Setup!$B$22*A935*B935)/33000))</f>
        <v>EMPTY</v>
      </c>
      <c r="D935" s="30" t="str">
        <f>IF(Setup!$H$2=0,"EMPTY",IF(B935=0,"EMPTY",B935*Setup!$B$22*Setup!$G$6*Setup!$D$11))</f>
        <v>EMPTY</v>
      </c>
      <c r="E935" s="31">
        <f>IF(Setup!$H$2=0,-1,IF(A935=0,-1,A935*1/(Setup!$G$6)))</f>
        <v>-1</v>
      </c>
      <c r="F935" s="31"/>
    </row>
    <row r="936" spans="1:6" ht="15.75" x14ac:dyDescent="0.25">
      <c r="A936"/>
      <c r="B936"/>
      <c r="C936" s="29" t="str">
        <f>IF(B936=0,"EMPTY",Setup!$D$11*((PI()*2*Setup!$B$22*A936*B936)/33000))</f>
        <v>EMPTY</v>
      </c>
      <c r="D936" s="30" t="str">
        <f>IF(Setup!$H$2=0,"EMPTY",IF(B936=0,"EMPTY",B936*Setup!$B$22*Setup!$G$6*Setup!$D$11))</f>
        <v>EMPTY</v>
      </c>
      <c r="E936" s="31">
        <f>IF(Setup!$H$2=0,-1,IF(A936=0,-1,A936*1/(Setup!$G$6)))</f>
        <v>-1</v>
      </c>
      <c r="F936" s="31"/>
    </row>
    <row r="937" spans="1:6" ht="15.75" x14ac:dyDescent="0.25">
      <c r="A937"/>
      <c r="B937"/>
      <c r="C937" s="29" t="str">
        <f>IF(B937=0,"EMPTY",Setup!$D$11*((PI()*2*Setup!$B$22*A937*B937)/33000))</f>
        <v>EMPTY</v>
      </c>
      <c r="D937" s="30" t="str">
        <f>IF(Setup!$H$2=0,"EMPTY",IF(B937=0,"EMPTY",B937*Setup!$B$22*Setup!$G$6*Setup!$D$11))</f>
        <v>EMPTY</v>
      </c>
      <c r="E937" s="31">
        <f>IF(Setup!$H$2=0,-1,IF(A937=0,-1,A937*1/(Setup!$G$6)))</f>
        <v>-1</v>
      </c>
      <c r="F937" s="31"/>
    </row>
    <row r="938" spans="1:6" ht="15.75" x14ac:dyDescent="0.25">
      <c r="A938"/>
      <c r="B938"/>
      <c r="C938" s="29" t="str">
        <f>IF(B938=0,"EMPTY",Setup!$D$11*((PI()*2*Setup!$B$22*A938*B938)/33000))</f>
        <v>EMPTY</v>
      </c>
      <c r="D938" s="30" t="str">
        <f>IF(Setup!$H$2=0,"EMPTY",IF(B938=0,"EMPTY",B938*Setup!$B$22*Setup!$G$6*Setup!$D$11))</f>
        <v>EMPTY</v>
      </c>
      <c r="E938" s="31">
        <f>IF(Setup!$H$2=0,-1,IF(A938=0,-1,A938*1/(Setup!$G$6)))</f>
        <v>-1</v>
      </c>
      <c r="F938" s="31"/>
    </row>
    <row r="939" spans="1:6" ht="15.75" x14ac:dyDescent="0.25">
      <c r="A939"/>
      <c r="B939"/>
      <c r="C939" s="29" t="str">
        <f>IF(B939=0,"EMPTY",Setup!$D$11*((PI()*2*Setup!$B$22*A939*B939)/33000))</f>
        <v>EMPTY</v>
      </c>
      <c r="D939" s="30" t="str">
        <f>IF(Setup!$H$2=0,"EMPTY",IF(B939=0,"EMPTY",B939*Setup!$B$22*Setup!$G$6*Setup!$D$11))</f>
        <v>EMPTY</v>
      </c>
      <c r="E939" s="31">
        <f>IF(Setup!$H$2=0,-1,IF(A939=0,-1,A939*1/(Setup!$G$6)))</f>
        <v>-1</v>
      </c>
      <c r="F939" s="31"/>
    </row>
    <row r="940" spans="1:6" ht="15.75" x14ac:dyDescent="0.25">
      <c r="A940"/>
      <c r="B940"/>
      <c r="C940" s="29" t="str">
        <f>IF(B940=0,"EMPTY",Setup!$D$11*((PI()*2*Setup!$B$22*A940*B940)/33000))</f>
        <v>EMPTY</v>
      </c>
      <c r="D940" s="30" t="str">
        <f>IF(Setup!$H$2=0,"EMPTY",IF(B940=0,"EMPTY",B940*Setup!$B$22*Setup!$G$6*Setup!$D$11))</f>
        <v>EMPTY</v>
      </c>
      <c r="E940" s="31">
        <f>IF(Setup!$H$2=0,-1,IF(A940=0,-1,A940*1/(Setup!$G$6)))</f>
        <v>-1</v>
      </c>
      <c r="F940" s="31"/>
    </row>
    <row r="941" spans="1:6" ht="15.75" x14ac:dyDescent="0.25">
      <c r="A941"/>
      <c r="B941"/>
      <c r="C941" s="29" t="str">
        <f>IF(B941=0,"EMPTY",Setup!$D$11*((PI()*2*Setup!$B$22*A941*B941)/33000))</f>
        <v>EMPTY</v>
      </c>
      <c r="D941" s="30" t="str">
        <f>IF(Setup!$H$2=0,"EMPTY",IF(B941=0,"EMPTY",B941*Setup!$B$22*Setup!$G$6*Setup!$D$11))</f>
        <v>EMPTY</v>
      </c>
      <c r="E941" s="31">
        <f>IF(Setup!$H$2=0,-1,IF(A941=0,-1,A941*1/(Setup!$G$6)))</f>
        <v>-1</v>
      </c>
      <c r="F941" s="31"/>
    </row>
    <row r="942" spans="1:6" ht="15.75" x14ac:dyDescent="0.25">
      <c r="A942"/>
      <c r="B942"/>
      <c r="C942" s="29" t="str">
        <f>IF(B942=0,"EMPTY",Setup!$D$11*((PI()*2*Setup!$B$22*A942*B942)/33000))</f>
        <v>EMPTY</v>
      </c>
      <c r="D942" s="30" t="str">
        <f>IF(Setup!$H$2=0,"EMPTY",IF(B942=0,"EMPTY",B942*Setup!$B$22*Setup!$G$6*Setup!$D$11))</f>
        <v>EMPTY</v>
      </c>
      <c r="E942" s="31">
        <f>IF(Setup!$H$2=0,-1,IF(A942=0,-1,A942*1/(Setup!$G$6)))</f>
        <v>-1</v>
      </c>
      <c r="F942" s="31"/>
    </row>
    <row r="943" spans="1:6" ht="15.75" x14ac:dyDescent="0.25">
      <c r="A943"/>
      <c r="B943"/>
      <c r="C943" s="29" t="str">
        <f>IF(B943=0,"EMPTY",Setup!$D$11*((PI()*2*Setup!$B$22*A943*B943)/33000))</f>
        <v>EMPTY</v>
      </c>
      <c r="D943" s="30" t="str">
        <f>IF(Setup!$H$2=0,"EMPTY",IF(B943=0,"EMPTY",B943*Setup!$B$22*Setup!$G$6*Setup!$D$11))</f>
        <v>EMPTY</v>
      </c>
      <c r="E943" s="31">
        <f>IF(Setup!$H$2=0,-1,IF(A943=0,-1,A943*1/(Setup!$G$6)))</f>
        <v>-1</v>
      </c>
      <c r="F943" s="31"/>
    </row>
    <row r="944" spans="1:6" ht="15.75" x14ac:dyDescent="0.25">
      <c r="A944"/>
      <c r="B944"/>
      <c r="C944" s="29" t="str">
        <f>IF(B944=0,"EMPTY",Setup!$D$11*((PI()*2*Setup!$B$22*A944*B944)/33000))</f>
        <v>EMPTY</v>
      </c>
      <c r="D944" s="30" t="str">
        <f>IF(Setup!$H$2=0,"EMPTY",IF(B944=0,"EMPTY",B944*Setup!$B$22*Setup!$G$6*Setup!$D$11))</f>
        <v>EMPTY</v>
      </c>
      <c r="E944" s="31">
        <f>IF(Setup!$H$2=0,-1,IF(A944=0,-1,A944*1/(Setup!$G$6)))</f>
        <v>-1</v>
      </c>
      <c r="F944" s="31"/>
    </row>
    <row r="945" spans="1:6" ht="15.75" x14ac:dyDescent="0.25">
      <c r="A945"/>
      <c r="B945"/>
      <c r="C945" s="29" t="str">
        <f>IF(B945=0,"EMPTY",Setup!$D$11*((PI()*2*Setup!$B$22*A945*B945)/33000))</f>
        <v>EMPTY</v>
      </c>
      <c r="D945" s="30" t="str">
        <f>IF(Setup!$H$2=0,"EMPTY",IF(B945=0,"EMPTY",B945*Setup!$B$22*Setup!$G$6*Setup!$D$11))</f>
        <v>EMPTY</v>
      </c>
      <c r="E945" s="31">
        <f>IF(Setup!$H$2=0,-1,IF(A945=0,-1,A945*1/(Setup!$G$6)))</f>
        <v>-1</v>
      </c>
      <c r="F945" s="31"/>
    </row>
    <row r="946" spans="1:6" ht="15.75" x14ac:dyDescent="0.25">
      <c r="A946"/>
      <c r="B946"/>
      <c r="C946" s="29" t="str">
        <f>IF(B946=0,"EMPTY",Setup!$D$11*((PI()*2*Setup!$B$22*A946*B946)/33000))</f>
        <v>EMPTY</v>
      </c>
      <c r="D946" s="30" t="str">
        <f>IF(Setup!$H$2=0,"EMPTY",IF(B946=0,"EMPTY",B946*Setup!$B$22*Setup!$G$6*Setup!$D$11))</f>
        <v>EMPTY</v>
      </c>
      <c r="E946" s="31">
        <f>IF(Setup!$H$2=0,-1,IF(A946=0,-1,A946*1/(Setup!$G$6)))</f>
        <v>-1</v>
      </c>
      <c r="F946" s="31"/>
    </row>
    <row r="947" spans="1:6" ht="15.75" x14ac:dyDescent="0.25">
      <c r="A947"/>
      <c r="B947"/>
      <c r="C947" s="29" t="str">
        <f>IF(B947=0,"EMPTY",Setup!$D$11*((PI()*2*Setup!$B$22*A947*B947)/33000))</f>
        <v>EMPTY</v>
      </c>
      <c r="D947" s="30" t="str">
        <f>IF(Setup!$H$2=0,"EMPTY",IF(B947=0,"EMPTY",B947*Setup!$B$22*Setup!$G$6*Setup!$D$11))</f>
        <v>EMPTY</v>
      </c>
      <c r="E947" s="31">
        <f>IF(Setup!$H$2=0,-1,IF(A947=0,-1,A947*1/(Setup!$G$6)))</f>
        <v>-1</v>
      </c>
      <c r="F947" s="31"/>
    </row>
    <row r="948" spans="1:6" ht="15.75" x14ac:dyDescent="0.25">
      <c r="A948"/>
      <c r="B948"/>
      <c r="C948" s="29" t="str">
        <f>IF(B948=0,"EMPTY",Setup!$D$11*((PI()*2*Setup!$B$22*A948*B948)/33000))</f>
        <v>EMPTY</v>
      </c>
      <c r="D948" s="30" t="str">
        <f>IF(Setup!$H$2=0,"EMPTY",IF(B948=0,"EMPTY",B948*Setup!$B$22*Setup!$G$6*Setup!$D$11))</f>
        <v>EMPTY</v>
      </c>
      <c r="E948" s="31">
        <f>IF(Setup!$H$2=0,-1,IF(A948=0,-1,A948*1/(Setup!$G$6)))</f>
        <v>-1</v>
      </c>
      <c r="F948" s="31"/>
    </row>
    <row r="949" spans="1:6" ht="15.75" x14ac:dyDescent="0.25">
      <c r="A949"/>
      <c r="B949"/>
      <c r="C949" s="29" t="str">
        <f>IF(B949=0,"EMPTY",Setup!$D$11*((PI()*2*Setup!$B$22*A949*B949)/33000))</f>
        <v>EMPTY</v>
      </c>
      <c r="D949" s="30" t="str">
        <f>IF(Setup!$H$2=0,"EMPTY",IF(B949=0,"EMPTY",B949*Setup!$B$22*Setup!$G$6*Setup!$D$11))</f>
        <v>EMPTY</v>
      </c>
      <c r="E949" s="31">
        <f>IF(Setup!$H$2=0,-1,IF(A949=0,-1,A949*1/(Setup!$G$6)))</f>
        <v>-1</v>
      </c>
      <c r="F949" s="31"/>
    </row>
    <row r="950" spans="1:6" ht="15.75" x14ac:dyDescent="0.25">
      <c r="A950"/>
      <c r="B950"/>
      <c r="C950" s="29" t="str">
        <f>IF(B950=0,"EMPTY",Setup!$D$11*((PI()*2*Setup!$B$22*A950*B950)/33000))</f>
        <v>EMPTY</v>
      </c>
      <c r="D950" s="30" t="str">
        <f>IF(Setup!$H$2=0,"EMPTY",IF(B950=0,"EMPTY",B950*Setup!$B$22*Setup!$G$6*Setup!$D$11))</f>
        <v>EMPTY</v>
      </c>
      <c r="E950" s="31">
        <f>IF(Setup!$H$2=0,-1,IF(A950=0,-1,A950*1/(Setup!$G$6)))</f>
        <v>-1</v>
      </c>
      <c r="F950" s="31"/>
    </row>
    <row r="951" spans="1:6" ht="15.75" x14ac:dyDescent="0.25">
      <c r="A951"/>
      <c r="B951"/>
      <c r="C951" s="29" t="str">
        <f>IF(B951=0,"EMPTY",Setup!$D$11*((PI()*2*Setup!$B$22*A951*B951)/33000))</f>
        <v>EMPTY</v>
      </c>
      <c r="D951" s="30" t="str">
        <f>IF(Setup!$H$2=0,"EMPTY",IF(B951=0,"EMPTY",B951*Setup!$B$22*Setup!$G$6*Setup!$D$11))</f>
        <v>EMPTY</v>
      </c>
      <c r="E951" s="31">
        <f>IF(Setup!$H$2=0,-1,IF(A951=0,-1,A951*1/(Setup!$G$6)))</f>
        <v>-1</v>
      </c>
      <c r="F951" s="31"/>
    </row>
    <row r="952" spans="1:6" ht="15.75" x14ac:dyDescent="0.25">
      <c r="A952"/>
      <c r="B952"/>
      <c r="C952" s="29" t="str">
        <f>IF(B952=0,"EMPTY",Setup!$D$11*((PI()*2*Setup!$B$22*A952*B952)/33000))</f>
        <v>EMPTY</v>
      </c>
      <c r="D952" s="30" t="str">
        <f>IF(Setup!$H$2=0,"EMPTY",IF(B952=0,"EMPTY",B952*Setup!$B$22*Setup!$G$6*Setup!$D$11))</f>
        <v>EMPTY</v>
      </c>
      <c r="E952" s="31">
        <f>IF(Setup!$H$2=0,-1,IF(A952=0,-1,A952*1/(Setup!$G$6)))</f>
        <v>-1</v>
      </c>
      <c r="F952" s="31"/>
    </row>
    <row r="953" spans="1:6" ht="15.75" x14ac:dyDescent="0.25">
      <c r="A953"/>
      <c r="B953"/>
      <c r="C953" s="29" t="str">
        <f>IF(B953=0,"EMPTY",Setup!$D$11*((PI()*2*Setup!$B$22*A953*B953)/33000))</f>
        <v>EMPTY</v>
      </c>
      <c r="D953" s="30" t="str">
        <f>IF(Setup!$H$2=0,"EMPTY",IF(B953=0,"EMPTY",B953*Setup!$B$22*Setup!$G$6*Setup!$D$11))</f>
        <v>EMPTY</v>
      </c>
      <c r="E953" s="31">
        <f>IF(Setup!$H$2=0,-1,IF(A953=0,-1,A953*1/(Setup!$G$6)))</f>
        <v>-1</v>
      </c>
      <c r="F953" s="31"/>
    </row>
    <row r="954" spans="1:6" ht="15.75" x14ac:dyDescent="0.25">
      <c r="A954"/>
      <c r="B954"/>
      <c r="C954" s="29" t="str">
        <f>IF(B954=0,"EMPTY",Setup!$D$11*((PI()*2*Setup!$B$22*A954*B954)/33000))</f>
        <v>EMPTY</v>
      </c>
      <c r="D954" s="30" t="str">
        <f>IF(Setup!$H$2=0,"EMPTY",IF(B954=0,"EMPTY",B954*Setup!$B$22*Setup!$G$6*Setup!$D$11))</f>
        <v>EMPTY</v>
      </c>
      <c r="E954" s="31">
        <f>IF(Setup!$H$2=0,-1,IF(A954=0,-1,A954*1/(Setup!$G$6)))</f>
        <v>-1</v>
      </c>
      <c r="F954" s="31"/>
    </row>
    <row r="955" spans="1:6" ht="15.75" x14ac:dyDescent="0.25">
      <c r="A955"/>
      <c r="B955"/>
      <c r="C955" s="29" t="str">
        <f>IF(B955=0,"EMPTY",Setup!$D$11*((PI()*2*Setup!$B$22*A955*B955)/33000))</f>
        <v>EMPTY</v>
      </c>
      <c r="D955" s="30" t="str">
        <f>IF(Setup!$H$2=0,"EMPTY",IF(B955=0,"EMPTY",B955*Setup!$B$22*Setup!$G$6*Setup!$D$11))</f>
        <v>EMPTY</v>
      </c>
      <c r="E955" s="31">
        <f>IF(Setup!$H$2=0,-1,IF(A955=0,-1,A955*1/(Setup!$G$6)))</f>
        <v>-1</v>
      </c>
      <c r="F955" s="31"/>
    </row>
    <row r="956" spans="1:6" ht="15.75" x14ac:dyDescent="0.25">
      <c r="A956"/>
      <c r="B956"/>
      <c r="C956" s="29" t="str">
        <f>IF(B956=0,"EMPTY",Setup!$D$11*((PI()*2*Setup!$B$22*A956*B956)/33000))</f>
        <v>EMPTY</v>
      </c>
      <c r="D956" s="30" t="str">
        <f>IF(Setup!$H$2=0,"EMPTY",IF(B956=0,"EMPTY",B956*Setup!$B$22*Setup!$G$6*Setup!$D$11))</f>
        <v>EMPTY</v>
      </c>
      <c r="E956" s="31">
        <f>IF(Setup!$H$2=0,-1,IF(A956=0,-1,A956*1/(Setup!$G$6)))</f>
        <v>-1</v>
      </c>
      <c r="F956" s="31"/>
    </row>
    <row r="957" spans="1:6" ht="15.75" x14ac:dyDescent="0.25">
      <c r="A957"/>
      <c r="B957"/>
      <c r="C957" s="29" t="str">
        <f>IF(B957=0,"EMPTY",Setup!$D$11*((PI()*2*Setup!$B$22*A957*B957)/33000))</f>
        <v>EMPTY</v>
      </c>
      <c r="D957" s="30" t="str">
        <f>IF(Setup!$H$2=0,"EMPTY",IF(B957=0,"EMPTY",B957*Setup!$B$22*Setup!$G$6*Setup!$D$11))</f>
        <v>EMPTY</v>
      </c>
      <c r="E957" s="31">
        <f>IF(Setup!$H$2=0,-1,IF(A957=0,-1,A957*1/(Setup!$G$6)))</f>
        <v>-1</v>
      </c>
      <c r="F957" s="31"/>
    </row>
    <row r="958" spans="1:6" ht="15.75" x14ac:dyDescent="0.25">
      <c r="A958"/>
      <c r="B958"/>
      <c r="C958" s="29" t="str">
        <f>IF(B958=0,"EMPTY",Setup!$D$11*((PI()*2*Setup!$B$22*A958*B958)/33000))</f>
        <v>EMPTY</v>
      </c>
      <c r="D958" s="30" t="str">
        <f>IF(Setup!$H$2=0,"EMPTY",IF(B958=0,"EMPTY",B958*Setup!$B$22*Setup!$G$6*Setup!$D$11))</f>
        <v>EMPTY</v>
      </c>
      <c r="E958" s="31">
        <f>IF(Setup!$H$2=0,-1,IF(A958=0,-1,A958*1/(Setup!$G$6)))</f>
        <v>-1</v>
      </c>
      <c r="F958" s="31"/>
    </row>
    <row r="959" spans="1:6" ht="15.75" x14ac:dyDescent="0.25">
      <c r="A959"/>
      <c r="B959"/>
      <c r="C959" s="29" t="str">
        <f>IF(B959=0,"EMPTY",Setup!$D$11*((PI()*2*Setup!$B$22*A959*B959)/33000))</f>
        <v>EMPTY</v>
      </c>
      <c r="D959" s="30" t="str">
        <f>IF(Setup!$H$2=0,"EMPTY",IF(B959=0,"EMPTY",B959*Setup!$B$22*Setup!$G$6*Setup!$D$11))</f>
        <v>EMPTY</v>
      </c>
      <c r="E959" s="31">
        <f>IF(Setup!$H$2=0,-1,IF(A959=0,-1,A959*1/(Setup!$G$6)))</f>
        <v>-1</v>
      </c>
      <c r="F959" s="31"/>
    </row>
    <row r="960" spans="1:6" ht="15.75" x14ac:dyDescent="0.25">
      <c r="A960"/>
      <c r="B960"/>
      <c r="C960" s="29" t="str">
        <f>IF(B960=0,"EMPTY",Setup!$D$11*((PI()*2*Setup!$B$22*A960*B960)/33000))</f>
        <v>EMPTY</v>
      </c>
      <c r="D960" s="30" t="str">
        <f>IF(Setup!$H$2=0,"EMPTY",IF(B960=0,"EMPTY",B960*Setup!$B$22*Setup!$G$6*Setup!$D$11))</f>
        <v>EMPTY</v>
      </c>
      <c r="E960" s="31">
        <f>IF(Setup!$H$2=0,-1,IF(A960=0,-1,A960*1/(Setup!$G$6)))</f>
        <v>-1</v>
      </c>
      <c r="F960" s="31"/>
    </row>
    <row r="961" spans="1:6" ht="15.75" x14ac:dyDescent="0.25">
      <c r="A961"/>
      <c r="B961"/>
      <c r="C961" s="29" t="str">
        <f>IF(B961=0,"EMPTY",Setup!$D$11*((PI()*2*Setup!$B$22*A961*B961)/33000))</f>
        <v>EMPTY</v>
      </c>
      <c r="D961" s="30" t="str">
        <f>IF(Setup!$H$2=0,"EMPTY",IF(B961=0,"EMPTY",B961*Setup!$B$22*Setup!$G$6*Setup!$D$11))</f>
        <v>EMPTY</v>
      </c>
      <c r="E961" s="31">
        <f>IF(Setup!$H$2=0,-1,IF(A961=0,-1,A961*1/(Setup!$G$6)))</f>
        <v>-1</v>
      </c>
      <c r="F961" s="31"/>
    </row>
    <row r="962" spans="1:6" ht="15.75" x14ac:dyDescent="0.25">
      <c r="A962"/>
      <c r="B962"/>
      <c r="C962" s="29" t="str">
        <f>IF(B962=0,"EMPTY",Setup!$D$11*((PI()*2*Setup!$B$22*A962*B962)/33000))</f>
        <v>EMPTY</v>
      </c>
      <c r="D962" s="30" t="str">
        <f>IF(Setup!$H$2=0,"EMPTY",IF(B962=0,"EMPTY",B962*Setup!$B$22*Setup!$G$6*Setup!$D$11))</f>
        <v>EMPTY</v>
      </c>
      <c r="E962" s="31">
        <f>IF(Setup!$H$2=0,-1,IF(A962=0,-1,A962*1/(Setup!$G$6)))</f>
        <v>-1</v>
      </c>
      <c r="F962" s="31"/>
    </row>
    <row r="963" spans="1:6" ht="15.75" x14ac:dyDescent="0.25">
      <c r="A963"/>
      <c r="B963"/>
      <c r="C963" s="29" t="str">
        <f>IF(B963=0,"EMPTY",Setup!$D$11*((PI()*2*Setup!$B$22*A963*B963)/33000))</f>
        <v>EMPTY</v>
      </c>
      <c r="D963" s="30" t="str">
        <f>IF(Setup!$H$2=0,"EMPTY",IF(B963=0,"EMPTY",B963*Setup!$B$22*Setup!$G$6*Setup!$D$11))</f>
        <v>EMPTY</v>
      </c>
      <c r="E963" s="31">
        <f>IF(Setup!$H$2=0,-1,IF(A963=0,-1,A963*1/(Setup!$G$6)))</f>
        <v>-1</v>
      </c>
      <c r="F963" s="31"/>
    </row>
    <row r="964" spans="1:6" ht="15.75" x14ac:dyDescent="0.25">
      <c r="A964"/>
      <c r="B964"/>
      <c r="C964" s="29" t="str">
        <f>IF(B964=0,"EMPTY",Setup!$D$11*((PI()*2*Setup!$B$22*A964*B964)/33000))</f>
        <v>EMPTY</v>
      </c>
      <c r="D964" s="30" t="str">
        <f>IF(Setup!$H$2=0,"EMPTY",IF(B964=0,"EMPTY",B964*Setup!$B$22*Setup!$G$6*Setup!$D$11))</f>
        <v>EMPTY</v>
      </c>
      <c r="E964" s="31">
        <f>IF(Setup!$H$2=0,-1,IF(A964=0,-1,A964*1/(Setup!$G$6)))</f>
        <v>-1</v>
      </c>
      <c r="F964" s="31"/>
    </row>
    <row r="965" spans="1:6" ht="15.75" x14ac:dyDescent="0.25">
      <c r="A965"/>
      <c r="B965"/>
      <c r="C965" s="29" t="str">
        <f>IF(B965=0,"EMPTY",Setup!$D$11*((PI()*2*Setup!$B$22*A965*B965)/33000))</f>
        <v>EMPTY</v>
      </c>
      <c r="D965" s="30" t="str">
        <f>IF(Setup!$H$2=0,"EMPTY",IF(B965=0,"EMPTY",B965*Setup!$B$22*Setup!$G$6*Setup!$D$11))</f>
        <v>EMPTY</v>
      </c>
      <c r="E965" s="31">
        <f>IF(Setup!$H$2=0,-1,IF(A965=0,-1,A965*1/(Setup!$G$6)))</f>
        <v>-1</v>
      </c>
      <c r="F965" s="31"/>
    </row>
    <row r="966" spans="1:6" ht="15.75" x14ac:dyDescent="0.25">
      <c r="A966"/>
      <c r="B966"/>
      <c r="C966" s="29" t="str">
        <f>IF(B966=0,"EMPTY",Setup!$D$11*((PI()*2*Setup!$B$22*A966*B966)/33000))</f>
        <v>EMPTY</v>
      </c>
      <c r="D966" s="30" t="str">
        <f>IF(Setup!$H$2=0,"EMPTY",IF(B966=0,"EMPTY",B966*Setup!$B$22*Setup!$G$6*Setup!$D$11))</f>
        <v>EMPTY</v>
      </c>
      <c r="E966" s="31">
        <f>IF(Setup!$H$2=0,-1,IF(A966=0,-1,A966*1/(Setup!$G$6)))</f>
        <v>-1</v>
      </c>
      <c r="F966" s="31"/>
    </row>
    <row r="967" spans="1:6" ht="15.75" x14ac:dyDescent="0.25">
      <c r="A967"/>
      <c r="B967"/>
      <c r="C967" s="29" t="str">
        <f>IF(B967=0,"EMPTY",Setup!$D$11*((PI()*2*Setup!$B$22*A967*B967)/33000))</f>
        <v>EMPTY</v>
      </c>
      <c r="D967" s="30" t="str">
        <f>IF(Setup!$H$2=0,"EMPTY",IF(B967=0,"EMPTY",B967*Setup!$B$22*Setup!$G$6*Setup!$D$11))</f>
        <v>EMPTY</v>
      </c>
      <c r="E967" s="31">
        <f>IF(Setup!$H$2=0,-1,IF(A967=0,-1,A967*1/(Setup!$G$6)))</f>
        <v>-1</v>
      </c>
      <c r="F967" s="31"/>
    </row>
    <row r="968" spans="1:6" ht="15.75" x14ac:dyDescent="0.25">
      <c r="A968"/>
      <c r="B968"/>
      <c r="C968" s="29" t="str">
        <f>IF(B968=0,"EMPTY",Setup!$D$11*((PI()*2*Setup!$B$22*A968*B968)/33000))</f>
        <v>EMPTY</v>
      </c>
      <c r="D968" s="30" t="str">
        <f>IF(Setup!$H$2=0,"EMPTY",IF(B968=0,"EMPTY",B968*Setup!$B$22*Setup!$G$6*Setup!$D$11))</f>
        <v>EMPTY</v>
      </c>
      <c r="E968" s="31">
        <f>IF(Setup!$H$2=0,-1,IF(A968=0,-1,A968*1/(Setup!$G$6)))</f>
        <v>-1</v>
      </c>
      <c r="F968" s="31"/>
    </row>
    <row r="969" spans="1:6" ht="15.75" x14ac:dyDescent="0.25">
      <c r="A969"/>
      <c r="B969"/>
      <c r="C969" s="29" t="str">
        <f>IF(B969=0,"EMPTY",Setup!$D$11*((PI()*2*Setup!$B$22*A969*B969)/33000))</f>
        <v>EMPTY</v>
      </c>
      <c r="D969" s="30" t="str">
        <f>IF(Setup!$H$2=0,"EMPTY",IF(B969=0,"EMPTY",B969*Setup!$B$22*Setup!$G$6*Setup!$D$11))</f>
        <v>EMPTY</v>
      </c>
      <c r="E969" s="31">
        <f>IF(Setup!$H$2=0,-1,IF(A969=0,-1,A969*1/(Setup!$G$6)))</f>
        <v>-1</v>
      </c>
      <c r="F969" s="31"/>
    </row>
    <row r="970" spans="1:6" ht="15.75" x14ac:dyDescent="0.25">
      <c r="A970"/>
      <c r="B970"/>
      <c r="C970" s="29" t="str">
        <f>IF(B970=0,"EMPTY",Setup!$D$11*((PI()*2*Setup!$B$22*A970*B970)/33000))</f>
        <v>EMPTY</v>
      </c>
      <c r="D970" s="30" t="str">
        <f>IF(Setup!$H$2=0,"EMPTY",IF(B970=0,"EMPTY",B970*Setup!$B$22*Setup!$G$6*Setup!$D$11))</f>
        <v>EMPTY</v>
      </c>
      <c r="E970" s="31">
        <f>IF(Setup!$H$2=0,-1,IF(A970=0,-1,A970*1/(Setup!$G$6)))</f>
        <v>-1</v>
      </c>
      <c r="F970" s="31"/>
    </row>
    <row r="971" spans="1:6" ht="15.75" x14ac:dyDescent="0.25">
      <c r="A971"/>
      <c r="B971"/>
      <c r="C971" s="29" t="str">
        <f>IF(B971=0,"EMPTY",Setup!$D$11*((PI()*2*Setup!$B$22*A971*B971)/33000))</f>
        <v>EMPTY</v>
      </c>
      <c r="D971" s="30" t="str">
        <f>IF(Setup!$H$2=0,"EMPTY",IF(B971=0,"EMPTY",B971*Setup!$B$22*Setup!$G$6*Setup!$D$11))</f>
        <v>EMPTY</v>
      </c>
      <c r="E971" s="31">
        <f>IF(Setup!$H$2=0,-1,IF(A971=0,-1,A971*1/(Setup!$G$6)))</f>
        <v>-1</v>
      </c>
      <c r="F971" s="31"/>
    </row>
    <row r="972" spans="1:6" ht="15.75" x14ac:dyDescent="0.25">
      <c r="A972"/>
      <c r="B972"/>
      <c r="C972" s="29" t="str">
        <f>IF(B972=0,"EMPTY",Setup!$D$11*((PI()*2*Setup!$B$22*A972*B972)/33000))</f>
        <v>EMPTY</v>
      </c>
      <c r="D972" s="30" t="str">
        <f>IF(Setup!$H$2=0,"EMPTY",IF(B972=0,"EMPTY",B972*Setup!$B$22*Setup!$G$6*Setup!$D$11))</f>
        <v>EMPTY</v>
      </c>
      <c r="E972" s="31">
        <f>IF(Setup!$H$2=0,-1,IF(A972=0,-1,A972*1/(Setup!$G$6)))</f>
        <v>-1</v>
      </c>
      <c r="F972" s="31"/>
    </row>
    <row r="973" spans="1:6" ht="15.75" x14ac:dyDescent="0.25">
      <c r="A973"/>
      <c r="B973"/>
      <c r="C973" s="29" t="str">
        <f>IF(B973=0,"EMPTY",Setup!$D$11*((PI()*2*Setup!$B$22*A973*B973)/33000))</f>
        <v>EMPTY</v>
      </c>
      <c r="D973" s="30" t="str">
        <f>IF(Setup!$H$2=0,"EMPTY",IF(B973=0,"EMPTY",B973*Setup!$B$22*Setup!$G$6*Setup!$D$11))</f>
        <v>EMPTY</v>
      </c>
      <c r="E973" s="31">
        <f>IF(Setup!$H$2=0,-1,IF(A973=0,-1,A973*1/(Setup!$G$6)))</f>
        <v>-1</v>
      </c>
      <c r="F973" s="31"/>
    </row>
    <row r="974" spans="1:6" ht="15.75" x14ac:dyDescent="0.25">
      <c r="A974"/>
      <c r="B974"/>
      <c r="C974" s="29" t="str">
        <f>IF(B974=0,"EMPTY",Setup!$D$11*((PI()*2*Setup!$B$22*A974*B974)/33000))</f>
        <v>EMPTY</v>
      </c>
      <c r="D974" s="30" t="str">
        <f>IF(Setup!$H$2=0,"EMPTY",IF(B974=0,"EMPTY",B974*Setup!$B$22*Setup!$G$6*Setup!$D$11))</f>
        <v>EMPTY</v>
      </c>
      <c r="E974" s="31">
        <f>IF(Setup!$H$2=0,-1,IF(A974=0,-1,A974*1/(Setup!$G$6)))</f>
        <v>-1</v>
      </c>
      <c r="F974" s="31"/>
    </row>
    <row r="975" spans="1:6" ht="15.75" x14ac:dyDescent="0.25">
      <c r="A975"/>
      <c r="B975"/>
      <c r="C975" s="29" t="str">
        <f>IF(B975=0,"EMPTY",Setup!$D$11*((PI()*2*Setup!$B$22*A975*B975)/33000))</f>
        <v>EMPTY</v>
      </c>
      <c r="D975" s="30" t="str">
        <f>IF(Setup!$H$2=0,"EMPTY",IF(B975=0,"EMPTY",B975*Setup!$B$22*Setup!$G$6*Setup!$D$11))</f>
        <v>EMPTY</v>
      </c>
      <c r="E975" s="31">
        <f>IF(Setup!$H$2=0,-1,IF(A975=0,-1,A975*1/(Setup!$G$6)))</f>
        <v>-1</v>
      </c>
      <c r="F975" s="31"/>
    </row>
    <row r="976" spans="1:6" ht="15.75" x14ac:dyDescent="0.25">
      <c r="A976"/>
      <c r="B976"/>
      <c r="C976" s="29" t="str">
        <f>IF(B976=0,"EMPTY",Setup!$D$11*((PI()*2*Setup!$B$22*A976*B976)/33000))</f>
        <v>EMPTY</v>
      </c>
      <c r="D976" s="30" t="str">
        <f>IF(Setup!$H$2=0,"EMPTY",IF(B976=0,"EMPTY",B976*Setup!$B$22*Setup!$G$6*Setup!$D$11))</f>
        <v>EMPTY</v>
      </c>
      <c r="E976" s="31">
        <f>IF(Setup!$H$2=0,-1,IF(A976=0,-1,A976*1/(Setup!$G$6)))</f>
        <v>-1</v>
      </c>
      <c r="F976" s="31"/>
    </row>
    <row r="977" spans="1:6" ht="15.75" x14ac:dyDescent="0.25">
      <c r="A977"/>
      <c r="B977"/>
      <c r="C977" s="29" t="str">
        <f>IF(B977=0,"EMPTY",Setup!$D$11*((PI()*2*Setup!$B$22*A977*B977)/33000))</f>
        <v>EMPTY</v>
      </c>
      <c r="D977" s="30" t="str">
        <f>IF(Setup!$H$2=0,"EMPTY",IF(B977=0,"EMPTY",B977*Setup!$B$22*Setup!$G$6*Setup!$D$11))</f>
        <v>EMPTY</v>
      </c>
      <c r="E977" s="31">
        <f>IF(Setup!$H$2=0,-1,IF(A977=0,-1,A977*1/(Setup!$G$6)))</f>
        <v>-1</v>
      </c>
      <c r="F977" s="31"/>
    </row>
    <row r="978" spans="1:6" ht="15.75" x14ac:dyDescent="0.25">
      <c r="A978"/>
      <c r="B978"/>
      <c r="C978" s="29" t="str">
        <f>IF(B978=0,"EMPTY",Setup!$D$11*((PI()*2*Setup!$B$22*A978*B978)/33000))</f>
        <v>EMPTY</v>
      </c>
      <c r="D978" s="30" t="str">
        <f>IF(Setup!$H$2=0,"EMPTY",IF(B978=0,"EMPTY",B978*Setup!$B$22*Setup!$G$6*Setup!$D$11))</f>
        <v>EMPTY</v>
      </c>
      <c r="E978" s="31">
        <f>IF(Setup!$H$2=0,-1,IF(A978=0,-1,A978*1/(Setup!$G$6)))</f>
        <v>-1</v>
      </c>
      <c r="F978" s="31"/>
    </row>
    <row r="979" spans="1:6" ht="15.75" x14ac:dyDescent="0.25">
      <c r="A979"/>
      <c r="B979"/>
      <c r="C979" s="29" t="str">
        <f>IF(B979=0,"EMPTY",Setup!$D$11*((PI()*2*Setup!$B$22*A979*B979)/33000))</f>
        <v>EMPTY</v>
      </c>
      <c r="D979" s="30" t="str">
        <f>IF(Setup!$H$2=0,"EMPTY",IF(B979=0,"EMPTY",B979*Setup!$B$22*Setup!$G$6*Setup!$D$11))</f>
        <v>EMPTY</v>
      </c>
      <c r="E979" s="31">
        <f>IF(Setup!$H$2=0,-1,IF(A979=0,-1,A979*1/(Setup!$G$6)))</f>
        <v>-1</v>
      </c>
      <c r="F979" s="31"/>
    </row>
    <row r="980" spans="1:6" ht="15.75" x14ac:dyDescent="0.25">
      <c r="A980"/>
      <c r="B980"/>
      <c r="C980" s="29" t="str">
        <f>IF(B980=0,"EMPTY",Setup!$D$11*((PI()*2*Setup!$B$22*A980*B980)/33000))</f>
        <v>EMPTY</v>
      </c>
      <c r="D980" s="30" t="str">
        <f>IF(Setup!$H$2=0,"EMPTY",IF(B980=0,"EMPTY",B980*Setup!$B$22*Setup!$G$6*Setup!$D$11))</f>
        <v>EMPTY</v>
      </c>
      <c r="E980" s="31">
        <f>IF(Setup!$H$2=0,-1,IF(A980=0,-1,A980*1/(Setup!$G$6)))</f>
        <v>-1</v>
      </c>
      <c r="F980" s="31"/>
    </row>
    <row r="981" spans="1:6" ht="15.75" x14ac:dyDescent="0.25">
      <c r="A981"/>
      <c r="B981"/>
      <c r="C981" s="29" t="str">
        <f>IF(B981=0,"EMPTY",Setup!$D$11*((PI()*2*Setup!$B$22*A981*B981)/33000))</f>
        <v>EMPTY</v>
      </c>
      <c r="D981" s="30" t="str">
        <f>IF(Setup!$H$2=0,"EMPTY",IF(B981=0,"EMPTY",B981*Setup!$B$22*Setup!$G$6*Setup!$D$11))</f>
        <v>EMPTY</v>
      </c>
      <c r="E981" s="31">
        <f>IF(Setup!$H$2=0,-1,IF(A981=0,-1,A981*1/(Setup!$G$6)))</f>
        <v>-1</v>
      </c>
      <c r="F981" s="31"/>
    </row>
    <row r="982" spans="1:6" ht="15.75" x14ac:dyDescent="0.25">
      <c r="A982"/>
      <c r="B982"/>
      <c r="C982" s="29" t="str">
        <f>IF(B982=0,"EMPTY",Setup!$D$11*((PI()*2*Setup!$B$22*A982*B982)/33000))</f>
        <v>EMPTY</v>
      </c>
      <c r="D982" s="30" t="str">
        <f>IF(Setup!$H$2=0,"EMPTY",IF(B982=0,"EMPTY",B982*Setup!$B$22*Setup!$G$6*Setup!$D$11))</f>
        <v>EMPTY</v>
      </c>
      <c r="E982" s="31">
        <f>IF(Setup!$H$2=0,-1,IF(A982=0,-1,A982*1/(Setup!$G$6)))</f>
        <v>-1</v>
      </c>
      <c r="F982" s="31"/>
    </row>
    <row r="983" spans="1:6" ht="15.75" x14ac:dyDescent="0.25">
      <c r="A983"/>
      <c r="B983"/>
      <c r="C983" s="29" t="str">
        <f>IF(B983=0,"EMPTY",Setup!$D$11*((PI()*2*Setup!$B$22*A983*B983)/33000))</f>
        <v>EMPTY</v>
      </c>
      <c r="D983" s="30" t="str">
        <f>IF(Setup!$H$2=0,"EMPTY",IF(B983=0,"EMPTY",B983*Setup!$B$22*Setup!$G$6*Setup!$D$11))</f>
        <v>EMPTY</v>
      </c>
      <c r="E983" s="31">
        <f>IF(Setup!$H$2=0,-1,IF(A983=0,-1,A983*1/(Setup!$G$6)))</f>
        <v>-1</v>
      </c>
      <c r="F983" s="31"/>
    </row>
    <row r="984" spans="1:6" ht="15.75" x14ac:dyDescent="0.25">
      <c r="A984"/>
      <c r="B984"/>
      <c r="C984" s="29" t="str">
        <f>IF(B984=0,"EMPTY",Setup!$D$11*((PI()*2*Setup!$B$22*A984*B984)/33000))</f>
        <v>EMPTY</v>
      </c>
      <c r="D984" s="30" t="str">
        <f>IF(Setup!$H$2=0,"EMPTY",IF(B984=0,"EMPTY",B984*Setup!$B$22*Setup!$G$6*Setup!$D$11))</f>
        <v>EMPTY</v>
      </c>
      <c r="E984" s="31">
        <f>IF(Setup!$H$2=0,-1,IF(A984=0,-1,A984*1/(Setup!$G$6)))</f>
        <v>-1</v>
      </c>
      <c r="F984" s="31"/>
    </row>
    <row r="985" spans="1:6" ht="15.75" x14ac:dyDescent="0.25">
      <c r="A985"/>
      <c r="B985"/>
      <c r="C985" s="29" t="str">
        <f>IF(B985=0,"EMPTY",Setup!$D$11*((PI()*2*Setup!$B$22*A985*B985)/33000))</f>
        <v>EMPTY</v>
      </c>
      <c r="D985" s="30" t="str">
        <f>IF(Setup!$H$2=0,"EMPTY",IF(B985=0,"EMPTY",B985*Setup!$B$22*Setup!$G$6*Setup!$D$11))</f>
        <v>EMPTY</v>
      </c>
      <c r="E985" s="31">
        <f>IF(Setup!$H$2=0,-1,IF(A985=0,-1,A985*1/(Setup!$G$6)))</f>
        <v>-1</v>
      </c>
      <c r="F985" s="31"/>
    </row>
    <row r="986" spans="1:6" ht="15.75" x14ac:dyDescent="0.25">
      <c r="A986"/>
      <c r="B986"/>
      <c r="C986" s="29" t="str">
        <f>IF(B986=0,"EMPTY",Setup!$D$11*((PI()*2*Setup!$B$22*A986*B986)/33000))</f>
        <v>EMPTY</v>
      </c>
      <c r="D986" s="30" t="str">
        <f>IF(Setup!$H$2=0,"EMPTY",IF(B986=0,"EMPTY",B986*Setup!$B$22*Setup!$G$6*Setup!$D$11))</f>
        <v>EMPTY</v>
      </c>
      <c r="E986" s="31">
        <f>IF(Setup!$H$2=0,-1,IF(A986=0,-1,A986*1/(Setup!$G$6)))</f>
        <v>-1</v>
      </c>
      <c r="F986" s="31"/>
    </row>
    <row r="987" spans="1:6" ht="15.75" x14ac:dyDescent="0.25">
      <c r="A987"/>
      <c r="B987"/>
      <c r="C987" s="29" t="str">
        <f>IF(B987=0,"EMPTY",Setup!$D$11*((PI()*2*Setup!$B$22*A987*B987)/33000))</f>
        <v>EMPTY</v>
      </c>
      <c r="D987" s="30" t="str">
        <f>IF(Setup!$H$2=0,"EMPTY",IF(B987=0,"EMPTY",B987*Setup!$B$22*Setup!$G$6*Setup!$D$11))</f>
        <v>EMPTY</v>
      </c>
      <c r="E987" s="31">
        <f>IF(Setup!$H$2=0,-1,IF(A987=0,-1,A987*1/(Setup!$G$6)))</f>
        <v>-1</v>
      </c>
      <c r="F987" s="31"/>
    </row>
    <row r="988" spans="1:6" ht="15.75" x14ac:dyDescent="0.25">
      <c r="A988"/>
      <c r="B988"/>
      <c r="C988" s="29" t="str">
        <f>IF(B988=0,"EMPTY",Setup!$D$11*((PI()*2*Setup!$B$22*A988*B988)/33000))</f>
        <v>EMPTY</v>
      </c>
      <c r="D988" s="30" t="str">
        <f>IF(Setup!$H$2=0,"EMPTY",IF(B988=0,"EMPTY",B988*Setup!$B$22*Setup!$G$6*Setup!$D$11))</f>
        <v>EMPTY</v>
      </c>
      <c r="E988" s="31">
        <f>IF(Setup!$H$2=0,-1,IF(A988=0,-1,A988*1/(Setup!$G$6)))</f>
        <v>-1</v>
      </c>
      <c r="F988" s="31"/>
    </row>
    <row r="989" spans="1:6" ht="15.75" x14ac:dyDescent="0.25">
      <c r="A989"/>
      <c r="B989"/>
      <c r="C989" s="29" t="str">
        <f>IF(B989=0,"EMPTY",Setup!$D$11*((PI()*2*Setup!$B$22*A989*B989)/33000))</f>
        <v>EMPTY</v>
      </c>
      <c r="D989" s="30" t="str">
        <f>IF(Setup!$H$2=0,"EMPTY",IF(B989=0,"EMPTY",B989*Setup!$B$22*Setup!$G$6*Setup!$D$11))</f>
        <v>EMPTY</v>
      </c>
      <c r="E989" s="31">
        <f>IF(Setup!$H$2=0,-1,IF(A989=0,-1,A989*1/(Setup!$G$6)))</f>
        <v>-1</v>
      </c>
      <c r="F989" s="31"/>
    </row>
    <row r="990" spans="1:6" ht="15.75" x14ac:dyDescent="0.25">
      <c r="A990"/>
      <c r="B990"/>
      <c r="C990" s="29" t="str">
        <f>IF(B990=0,"EMPTY",Setup!$D$11*((PI()*2*Setup!$B$22*A990*B990)/33000))</f>
        <v>EMPTY</v>
      </c>
      <c r="D990" s="30" t="str">
        <f>IF(Setup!$H$2=0,"EMPTY",IF(B990=0,"EMPTY",B990*Setup!$B$22*Setup!$G$6*Setup!$D$11))</f>
        <v>EMPTY</v>
      </c>
      <c r="E990" s="31">
        <f>IF(Setup!$H$2=0,-1,IF(A990=0,-1,A990*1/(Setup!$G$6)))</f>
        <v>-1</v>
      </c>
      <c r="F990" s="31"/>
    </row>
    <row r="991" spans="1:6" ht="15.75" x14ac:dyDescent="0.25">
      <c r="A991"/>
      <c r="B991"/>
      <c r="C991" s="29" t="str">
        <f>IF(B991=0,"EMPTY",Setup!$D$11*((PI()*2*Setup!$B$22*A991*B991)/33000))</f>
        <v>EMPTY</v>
      </c>
      <c r="D991" s="30" t="str">
        <f>IF(Setup!$H$2=0,"EMPTY",IF(B991=0,"EMPTY",B991*Setup!$B$22*Setup!$G$6*Setup!$D$11))</f>
        <v>EMPTY</v>
      </c>
      <c r="E991" s="31">
        <f>IF(Setup!$H$2=0,-1,IF(A991=0,-1,A991*1/(Setup!$G$6)))</f>
        <v>-1</v>
      </c>
      <c r="F991" s="31"/>
    </row>
    <row r="992" spans="1:6" ht="15.75" x14ac:dyDescent="0.25">
      <c r="A992"/>
      <c r="B992"/>
      <c r="C992" s="29" t="str">
        <f>IF(B992=0,"EMPTY",Setup!$D$11*((PI()*2*Setup!$B$22*A992*B992)/33000))</f>
        <v>EMPTY</v>
      </c>
      <c r="D992" s="30" t="str">
        <f>IF(Setup!$H$2=0,"EMPTY",IF(B992=0,"EMPTY",B992*Setup!$B$22*Setup!$G$6*Setup!$D$11))</f>
        <v>EMPTY</v>
      </c>
      <c r="E992" s="31">
        <f>IF(Setup!$H$2=0,-1,IF(A992=0,-1,A992*1/(Setup!$G$6)))</f>
        <v>-1</v>
      </c>
      <c r="F992" s="31"/>
    </row>
    <row r="993" spans="1:6" ht="15.75" x14ac:dyDescent="0.25">
      <c r="A993"/>
      <c r="B993"/>
      <c r="C993" s="29" t="str">
        <f>IF(B993=0,"EMPTY",Setup!$D$11*((PI()*2*Setup!$B$22*A993*B993)/33000))</f>
        <v>EMPTY</v>
      </c>
      <c r="D993" s="30" t="str">
        <f>IF(Setup!$H$2=0,"EMPTY",IF(B993=0,"EMPTY",B993*Setup!$B$22*Setup!$G$6*Setup!$D$11))</f>
        <v>EMPTY</v>
      </c>
      <c r="E993" s="31">
        <f>IF(Setup!$H$2=0,-1,IF(A993=0,-1,A993*1/(Setup!$G$6)))</f>
        <v>-1</v>
      </c>
      <c r="F993" s="31"/>
    </row>
    <row r="994" spans="1:6" ht="15.75" x14ac:dyDescent="0.25">
      <c r="A994"/>
      <c r="B994"/>
      <c r="C994" s="29" t="str">
        <f>IF(B994=0,"EMPTY",Setup!$D$11*((PI()*2*Setup!$B$22*A994*B994)/33000))</f>
        <v>EMPTY</v>
      </c>
      <c r="D994" s="30" t="str">
        <f>IF(Setup!$H$2=0,"EMPTY",IF(B994=0,"EMPTY",B994*Setup!$B$22*Setup!$G$6*Setup!$D$11))</f>
        <v>EMPTY</v>
      </c>
      <c r="E994" s="31">
        <f>IF(Setup!$H$2=0,-1,IF(A994=0,-1,A994*1/(Setup!$G$6)))</f>
        <v>-1</v>
      </c>
      <c r="F994" s="31"/>
    </row>
    <row r="995" spans="1:6" ht="15.75" x14ac:dyDescent="0.25">
      <c r="A995"/>
      <c r="B995"/>
      <c r="C995" s="29" t="str">
        <f>IF(B995=0,"EMPTY",Setup!$D$11*((PI()*2*Setup!$B$22*A995*B995)/33000))</f>
        <v>EMPTY</v>
      </c>
      <c r="D995" s="30" t="str">
        <f>IF(Setup!$H$2=0,"EMPTY",IF(B995=0,"EMPTY",B995*Setup!$B$22*Setup!$G$6*Setup!$D$11))</f>
        <v>EMPTY</v>
      </c>
      <c r="E995" s="31">
        <f>IF(Setup!$H$2=0,-1,IF(A995=0,-1,A995*1/(Setup!$G$6)))</f>
        <v>-1</v>
      </c>
      <c r="F995" s="31"/>
    </row>
    <row r="996" spans="1:6" ht="15.75" x14ac:dyDescent="0.25">
      <c r="A996"/>
      <c r="B996"/>
      <c r="C996" s="29" t="str">
        <f>IF(B996=0,"EMPTY",Setup!$D$11*((PI()*2*Setup!$B$22*A996*B996)/33000))</f>
        <v>EMPTY</v>
      </c>
      <c r="D996" s="30" t="str">
        <f>IF(Setup!$H$2=0,"EMPTY",IF(B996=0,"EMPTY",B996*Setup!$B$22*Setup!$G$6*Setup!$D$11))</f>
        <v>EMPTY</v>
      </c>
      <c r="E996" s="31">
        <f>IF(Setup!$H$2=0,-1,IF(A996=0,-1,A996*1/(Setup!$G$6)))</f>
        <v>-1</v>
      </c>
      <c r="F996" s="31"/>
    </row>
    <row r="997" spans="1:6" ht="15.75" x14ac:dyDescent="0.25">
      <c r="A997"/>
      <c r="B997"/>
      <c r="C997" s="29" t="str">
        <f>IF(B997=0,"EMPTY",Setup!$D$11*((PI()*2*Setup!$B$22*A997*B997)/33000))</f>
        <v>EMPTY</v>
      </c>
      <c r="D997" s="30" t="str">
        <f>IF(Setup!$H$2=0,"EMPTY",IF(B997=0,"EMPTY",B997*Setup!$B$22*Setup!$G$6*Setup!$D$11))</f>
        <v>EMPTY</v>
      </c>
      <c r="E997" s="31">
        <f>IF(Setup!$H$2=0,-1,IF(A997=0,-1,A997*1/(Setup!$G$6)))</f>
        <v>-1</v>
      </c>
      <c r="F997" s="31"/>
    </row>
    <row r="998" spans="1:6" ht="15.75" x14ac:dyDescent="0.25">
      <c r="A998"/>
      <c r="B998"/>
      <c r="C998" s="29" t="str">
        <f>IF(B998=0,"EMPTY",Setup!$D$11*((PI()*2*Setup!$B$22*A998*B998)/33000))</f>
        <v>EMPTY</v>
      </c>
      <c r="D998" s="30" t="str">
        <f>IF(Setup!$H$2=0,"EMPTY",IF(B998=0,"EMPTY",B998*Setup!$B$22*Setup!$G$6*Setup!$D$11))</f>
        <v>EMPTY</v>
      </c>
      <c r="E998" s="31">
        <f>IF(Setup!$H$2=0,-1,IF(A998=0,-1,A998*1/(Setup!$G$6)))</f>
        <v>-1</v>
      </c>
      <c r="F998" s="31"/>
    </row>
    <row r="999" spans="1:6" ht="15.75" x14ac:dyDescent="0.25">
      <c r="A999"/>
      <c r="B999"/>
      <c r="C999" s="29" t="str">
        <f>IF(B999=0,"EMPTY",Setup!$D$11*((PI()*2*Setup!$B$22*A999*B999)/33000))</f>
        <v>EMPTY</v>
      </c>
      <c r="D999" s="30" t="str">
        <f>IF(Setup!$H$2=0,"EMPTY",IF(B999=0,"EMPTY",B999*Setup!$B$22*Setup!$G$6*Setup!$D$11))</f>
        <v>EMPTY</v>
      </c>
      <c r="E999" s="31">
        <f>IF(Setup!$H$2=0,-1,IF(A999=0,-1,A999*1/(Setup!$G$6)))</f>
        <v>-1</v>
      </c>
      <c r="F999" s="31"/>
    </row>
    <row r="1000" spans="1:6" ht="15.75" x14ac:dyDescent="0.25">
      <c r="C1000" s="29" t="str">
        <f>IF(B1000=0,"EMPTY",Setup!$D$11*((PI()*2*Setup!$B$22*A1000*B1000)/33000))</f>
        <v>EMPTY</v>
      </c>
      <c r="D1000" s="30" t="str">
        <f>IF(Setup!$H$2=0,"EMPTY",IF(B1000=0,"EMPTY",B1000*Setup!$B$22*Setup!$G$6*Setup!$D$11))</f>
        <v>EMPTY</v>
      </c>
      <c r="E1000" s="31">
        <f>IF(Setup!$H$2=0,-1,IF(A1000=0,-1,A1000*1/(Setup!$G$6)))</f>
        <v>-1</v>
      </c>
      <c r="F1000" s="31"/>
    </row>
    <row r="1001" spans="1:6" ht="15.75" x14ac:dyDescent="0.25">
      <c r="C1001" s="29" t="str">
        <f>IF(B1001=0,"EMPTY",Setup!$D$11*((PI()*2*Setup!$B$22*A1001*B1001)/33000))</f>
        <v>EMPTY</v>
      </c>
      <c r="D1001" s="30" t="str">
        <f>IF(Setup!$H$2=0,"EMPTY",IF(B1001=0,"EMPTY",B1001*Setup!$B$22*Setup!$G$6*Setup!$D$11))</f>
        <v>EMPTY</v>
      </c>
      <c r="E1001" s="31">
        <f>IF(Setup!$H$2=0,-1,IF(A1001=0,-1,A1001*1/(Setup!$G$6)))</f>
        <v>-1</v>
      </c>
      <c r="F1001" s="31"/>
    </row>
    <row r="1002" spans="1:6" ht="15.75" x14ac:dyDescent="0.25">
      <c r="C1002" s="29" t="str">
        <f>IF(B1002=0,"EMPTY",Setup!$D$11*((PI()*2*Setup!$B$22*A1002*B1002)/33000))</f>
        <v>EMPTY</v>
      </c>
      <c r="D1002" s="30" t="str">
        <f>IF(Setup!$H$2=0,"EMPTY",IF(B1002=0,"EMPTY",B1002*Setup!$B$22*Setup!$G$6*Setup!$D$11))</f>
        <v>EMPTY</v>
      </c>
      <c r="E1002" s="31">
        <f>IF(Setup!$H$2=0,-1,IF(A1002=0,-1,A1002*1/(Setup!$G$6)))</f>
        <v>-1</v>
      </c>
      <c r="F1002" s="31"/>
    </row>
    <row r="1003" spans="1:6" ht="15.75" x14ac:dyDescent="0.25">
      <c r="C1003" s="29" t="str">
        <f>IF(B1003=0,"EMPTY",Setup!$D$11*((PI()*2*Setup!$B$22*A1003*B1003)/33000))</f>
        <v>EMPTY</v>
      </c>
      <c r="D1003" s="30" t="str">
        <f>IF(Setup!$H$2=0,"EMPTY",IF(B1003=0,"EMPTY",B1003*Setup!$B$22*Setup!$G$6*Setup!$D$11))</f>
        <v>EMPTY</v>
      </c>
      <c r="E1003" s="31">
        <f>IF(Setup!$H$2=0,-1,IF(A1003=0,-1,A1003*1/(Setup!$G$6)))</f>
        <v>-1</v>
      </c>
      <c r="F1003" s="31"/>
    </row>
    <row r="1004" spans="1:6" ht="15.75" x14ac:dyDescent="0.25">
      <c r="C1004" s="29" t="str">
        <f>IF(B1004=0,"EMPTY",Setup!$D$11*((PI()*2*Setup!$B$22*A1004*B1004)/33000))</f>
        <v>EMPTY</v>
      </c>
      <c r="D1004" s="30" t="str">
        <f>IF(Setup!$H$2=0,"EMPTY",IF(B1004=0,"EMPTY",B1004*Setup!$B$22*Setup!$G$6*Setup!$D$11))</f>
        <v>EMPTY</v>
      </c>
      <c r="E1004" s="31">
        <f>IF(Setup!$H$2=0,-1,IF(A1004=0,-1,A1004*1/(Setup!$G$6)))</f>
        <v>-1</v>
      </c>
      <c r="F1004" s="31"/>
    </row>
    <row r="1005" spans="1:6" ht="15.75" x14ac:dyDescent="0.25">
      <c r="C1005" s="29" t="str">
        <f>IF(B1005=0,"EMPTY",Setup!$D$11*((PI()*2*Setup!$B$22*A1005*B1005)/33000))</f>
        <v>EMPTY</v>
      </c>
      <c r="D1005" s="30" t="str">
        <f>IF(Setup!$H$2=0,"EMPTY",IF(B1005=0,"EMPTY",B1005*Setup!$B$22*Setup!$G$6*Setup!$D$11))</f>
        <v>EMPTY</v>
      </c>
      <c r="E1005" s="31">
        <f>IF(Setup!$H$2=0,-1,IF(A1005=0,-1,A1005*1/(Setup!$G$6)))</f>
        <v>-1</v>
      </c>
      <c r="F1005" s="31"/>
    </row>
    <row r="1006" spans="1:6" ht="15.75" x14ac:dyDescent="0.25">
      <c r="C1006" s="29" t="str">
        <f>IF(B1006=0,"EMPTY",Setup!$D$11*((PI()*2*Setup!$B$22*A1006*B1006)/33000))</f>
        <v>EMPTY</v>
      </c>
      <c r="D1006" s="30" t="str">
        <f>IF(Setup!$H$2=0,"EMPTY",IF(B1006=0,"EMPTY",B1006*Setup!$B$22*Setup!$G$6*Setup!$D$11))</f>
        <v>EMPTY</v>
      </c>
      <c r="E1006" s="31">
        <f>IF(Setup!$H$2=0,-1,IF(A1006=0,-1,A1006*1/(Setup!$G$6)))</f>
        <v>-1</v>
      </c>
      <c r="F1006" s="31"/>
    </row>
    <row r="1007" spans="1:6" ht="15.75" x14ac:dyDescent="0.25">
      <c r="C1007" s="29" t="str">
        <f>IF(B1007=0,"EMPTY",Setup!$D$11*((PI()*2*Setup!$B$22*A1007*B1007)/33000))</f>
        <v>EMPTY</v>
      </c>
      <c r="D1007" s="30" t="str">
        <f>IF(Setup!$H$2=0,"EMPTY",IF(B1007=0,"EMPTY",B1007*Setup!$B$22*Setup!$G$6*Setup!$D$11))</f>
        <v>EMPTY</v>
      </c>
      <c r="E1007" s="31">
        <f>IF(Setup!$H$2=0,-1,IF(A1007=0,-1,A1007*1/(Setup!$G$6)))</f>
        <v>-1</v>
      </c>
      <c r="F1007" s="31"/>
    </row>
    <row r="1008" spans="1:6" ht="15.75" x14ac:dyDescent="0.25">
      <c r="C1008" s="29" t="str">
        <f>IF(B1008=0,"EMPTY",Setup!$D$11*((PI()*2*Setup!$B$22*A1008*B1008)/33000))</f>
        <v>EMPTY</v>
      </c>
      <c r="D1008" s="30" t="str">
        <f>IF(Setup!$H$2=0,"EMPTY",IF(B1008=0,"EMPTY",B1008*Setup!$B$22*Setup!$G$6*Setup!$D$11))</f>
        <v>EMPTY</v>
      </c>
      <c r="E1008" s="31">
        <f>IF(Setup!$H$2=0,-1,IF(A1008=0,-1,A1008*1/(Setup!$G$6)))</f>
        <v>-1</v>
      </c>
      <c r="F1008" s="31"/>
    </row>
    <row r="1009" spans="3:6" ht="15.75" x14ac:dyDescent="0.25">
      <c r="C1009" s="29" t="str">
        <f>IF(B1009=0,"EMPTY",Setup!$D$11*((PI()*2*Setup!$B$22*A1009*B1009)/33000))</f>
        <v>EMPTY</v>
      </c>
      <c r="D1009" s="30" t="str">
        <f>IF(Setup!$H$2=0,"EMPTY",IF(B1009=0,"EMPTY",B1009*Setup!$B$22*Setup!$G$6*Setup!$D$11))</f>
        <v>EMPTY</v>
      </c>
      <c r="E1009" s="31">
        <f>IF(Setup!$H$2=0,-1,IF(A1009=0,-1,A1009*1/(Setup!$G$6)))</f>
        <v>-1</v>
      </c>
      <c r="F1009" s="31"/>
    </row>
    <row r="1010" spans="3:6" ht="15.75" x14ac:dyDescent="0.25">
      <c r="C1010" s="29" t="str">
        <f>IF(B1010=0,"EMPTY",Setup!$D$11*((PI()*2*Setup!$B$22*A1010*B1010)/33000))</f>
        <v>EMPTY</v>
      </c>
      <c r="D1010" s="30" t="str">
        <f>IF(Setup!$H$2=0,"EMPTY",IF(B1010=0,"EMPTY",B1010*Setup!$B$22*Setup!$G$6*Setup!$D$11))</f>
        <v>EMPTY</v>
      </c>
      <c r="E1010" s="31">
        <f>IF(Setup!$H$2=0,-1,IF(A1010=0,-1,A1010*1/(Setup!$G$6)))</f>
        <v>-1</v>
      </c>
      <c r="F1010" s="31"/>
    </row>
    <row r="1011" spans="3:6" ht="15.75" x14ac:dyDescent="0.25">
      <c r="C1011" s="29" t="str">
        <f>IF(B1011=0,"EMPTY",Setup!$D$11*((PI()*2*Setup!$B$22*A1011*B1011)/33000))</f>
        <v>EMPTY</v>
      </c>
      <c r="D1011" s="30" t="str">
        <f>IF(Setup!$H$2=0,"EMPTY",IF(B1011=0,"EMPTY",B1011*Setup!$B$22*Setup!$G$6*Setup!$D$11))</f>
        <v>EMPTY</v>
      </c>
      <c r="E1011" s="31">
        <f>IF(Setup!$H$2=0,-1,IF(A1011=0,-1,A1011*1/(Setup!$G$6)))</f>
        <v>-1</v>
      </c>
      <c r="F1011" s="31"/>
    </row>
    <row r="1012" spans="3:6" ht="15.75" x14ac:dyDescent="0.25">
      <c r="C1012" s="29" t="str">
        <f>IF(B1012=0,"EMPTY",Setup!$D$11*((PI()*2*Setup!$B$22*A1012*B1012)/33000))</f>
        <v>EMPTY</v>
      </c>
      <c r="D1012" s="30" t="str">
        <f>IF(Setup!$H$2=0,"EMPTY",IF(B1012=0,"EMPTY",B1012*Setup!$B$22*Setup!$G$6*Setup!$D$11))</f>
        <v>EMPTY</v>
      </c>
      <c r="E1012" s="31">
        <f>IF(Setup!$H$2=0,-1,IF(A1012=0,-1,A1012*1/(Setup!$G$6)))</f>
        <v>-1</v>
      </c>
      <c r="F1012" s="31"/>
    </row>
    <row r="1013" spans="3:6" ht="15.75" x14ac:dyDescent="0.25">
      <c r="C1013" s="29" t="str">
        <f>IF(B1013=0,"EMPTY",Setup!$D$11*((PI()*2*Setup!$B$22*A1013*B1013)/33000))</f>
        <v>EMPTY</v>
      </c>
      <c r="D1013" s="30" t="str">
        <f>IF(Setup!$H$2=0,"EMPTY",IF(B1013=0,"EMPTY",B1013*Setup!$B$22*Setup!$G$6*Setup!$D$11))</f>
        <v>EMPTY</v>
      </c>
      <c r="E1013" s="31">
        <f>IF(Setup!$H$2=0,-1,IF(A1013=0,-1,A1013*1/(Setup!$G$6)))</f>
        <v>-1</v>
      </c>
      <c r="F1013" s="31"/>
    </row>
    <row r="1014" spans="3:6" ht="15.75" x14ac:dyDescent="0.25">
      <c r="C1014" s="29" t="str">
        <f>IF(B1014=0,"EMPTY",Setup!$D$11*((PI()*2*Setup!$B$22*A1014*B1014)/33000))</f>
        <v>EMPTY</v>
      </c>
      <c r="D1014" s="30" t="str">
        <f>IF(Setup!$H$2=0,"EMPTY",IF(B1014=0,"EMPTY",B1014*Setup!$B$22*Setup!$G$6*Setup!$D$11))</f>
        <v>EMPTY</v>
      </c>
      <c r="E1014" s="31">
        <f>IF(Setup!$H$2=0,-1,IF(A1014=0,-1,A1014*1/(Setup!$G$6)))</f>
        <v>-1</v>
      </c>
      <c r="F1014" s="31"/>
    </row>
    <row r="1015" spans="3:6" ht="15.75" x14ac:dyDescent="0.25">
      <c r="C1015" s="29" t="str">
        <f>IF(B1015=0,"EMPTY",Setup!$D$11*((PI()*2*Setup!$B$22*A1015*B1015)/33000))</f>
        <v>EMPTY</v>
      </c>
      <c r="D1015" s="30" t="str">
        <f>IF(Setup!$H$2=0,"EMPTY",IF(B1015=0,"EMPTY",B1015*Setup!$B$22*Setup!$G$6*Setup!$D$11))</f>
        <v>EMPTY</v>
      </c>
      <c r="E1015" s="31">
        <f>IF(Setup!$H$2=0,-1,IF(A1015=0,-1,A1015*1/(Setup!$G$6)))</f>
        <v>-1</v>
      </c>
      <c r="F1015" s="31"/>
    </row>
    <row r="1016" spans="3:6" ht="15.75" x14ac:dyDescent="0.25">
      <c r="C1016" s="29" t="str">
        <f>IF(B1016=0,"EMPTY",Setup!$D$11*((PI()*2*Setup!$B$22*A1016*B1016)/33000))</f>
        <v>EMPTY</v>
      </c>
      <c r="D1016" s="30" t="str">
        <f>IF(Setup!$H$2=0,"EMPTY",IF(B1016=0,"EMPTY",B1016*Setup!$B$22*Setup!$G$6*Setup!$D$11))</f>
        <v>EMPTY</v>
      </c>
      <c r="E1016" s="31">
        <f>IF(Setup!$H$2=0,-1,IF(A1016=0,-1,A1016*1/(Setup!$G$6)))</f>
        <v>-1</v>
      </c>
      <c r="F1016" s="31"/>
    </row>
    <row r="1017" spans="3:6" ht="15.75" x14ac:dyDescent="0.25">
      <c r="C1017" s="29" t="str">
        <f>IF(B1017=0,"EMPTY",Setup!$D$11*((PI()*2*Setup!$B$22*A1017*B1017)/33000))</f>
        <v>EMPTY</v>
      </c>
      <c r="D1017" s="30" t="str">
        <f>IF(Setup!$H$2=0,"EMPTY",IF(B1017=0,"EMPTY",B1017*Setup!$B$22*Setup!$G$6*Setup!$D$11))</f>
        <v>EMPTY</v>
      </c>
      <c r="E1017" s="31">
        <f>IF(Setup!$H$2=0,-1,IF(A1017=0,-1,A1017*1/(Setup!$G$6)))</f>
        <v>-1</v>
      </c>
      <c r="F1017" s="31"/>
    </row>
    <row r="1018" spans="3:6" ht="15.75" x14ac:dyDescent="0.25">
      <c r="C1018" s="29" t="str">
        <f>IF(B1018=0,"EMPTY",Setup!$D$11*((PI()*2*Setup!$B$22*A1018*B1018)/33000))</f>
        <v>EMPTY</v>
      </c>
      <c r="D1018" s="30" t="str">
        <f>IF(Setup!$H$2=0,"EMPTY",IF(B1018=0,"EMPTY",B1018*Setup!$B$22*Setup!$G$6*Setup!$D$11))</f>
        <v>EMPTY</v>
      </c>
      <c r="E1018" s="31">
        <f>IF(Setup!$H$2=0,-1,IF(A1018=0,-1,A1018*1/(Setup!$G$6)))</f>
        <v>-1</v>
      </c>
      <c r="F1018" s="31"/>
    </row>
    <row r="1019" spans="3:6" ht="15.75" x14ac:dyDescent="0.25">
      <c r="C1019" s="29" t="str">
        <f>IF(B1019=0,"EMPTY",Setup!$D$11*((PI()*2*Setup!$B$22*A1019*B1019)/33000))</f>
        <v>EMPTY</v>
      </c>
      <c r="D1019" s="30" t="str">
        <f>IF(Setup!$H$2=0,"EMPTY",IF(B1019=0,"EMPTY",B1019*Setup!$B$22*Setup!$G$6*Setup!$D$11))</f>
        <v>EMPTY</v>
      </c>
      <c r="E1019" s="31">
        <f>IF(Setup!$H$2=0,-1,IF(A1019=0,-1,A1019*1/(Setup!$G$6)))</f>
        <v>-1</v>
      </c>
      <c r="F1019" s="31"/>
    </row>
    <row r="1020" spans="3:6" ht="15.75" x14ac:dyDescent="0.25">
      <c r="C1020" s="29" t="str">
        <f>IF(B1020=0,"EMPTY",Setup!$D$11*((PI()*2*Setup!$B$22*A1020*B1020)/33000))</f>
        <v>EMPTY</v>
      </c>
      <c r="D1020" s="30" t="str">
        <f>IF(Setup!$H$2=0,"EMPTY",IF(B1020=0,"EMPTY",B1020*Setup!$B$22*Setup!$G$6*Setup!$D$11))</f>
        <v>EMPTY</v>
      </c>
      <c r="E1020" s="31">
        <f>IF(Setup!$H$2=0,-1,IF(A1020=0,-1,A1020*1/(Setup!$G$6)))</f>
        <v>-1</v>
      </c>
      <c r="F1020" s="31"/>
    </row>
    <row r="1021" spans="3:6" ht="15.75" x14ac:dyDescent="0.25">
      <c r="C1021" s="29" t="str">
        <f>IF(B1021=0,"EMPTY",Setup!$D$11*((PI()*2*Setup!$B$22*A1021*B1021)/33000))</f>
        <v>EMPTY</v>
      </c>
      <c r="D1021" s="30" t="str">
        <f>IF(Setup!$H$2=0,"EMPTY",IF(B1021=0,"EMPTY",B1021*Setup!$B$22*Setup!$G$6*Setup!$D$11))</f>
        <v>EMPTY</v>
      </c>
      <c r="E1021" s="31">
        <f>IF(Setup!$H$2=0,-1,IF(A1021=0,-1,A1021*1/(Setup!$G$6)))</f>
        <v>-1</v>
      </c>
      <c r="F1021" s="31"/>
    </row>
    <row r="1022" spans="3:6" ht="15.75" x14ac:dyDescent="0.25">
      <c r="C1022" s="29" t="str">
        <f>IF(B1022=0,"EMPTY",Setup!$D$11*((PI()*2*Setup!$B$22*A1022*B1022)/33000))</f>
        <v>EMPTY</v>
      </c>
      <c r="D1022" s="30" t="str">
        <f>IF(Setup!$H$2=0,"EMPTY",IF(B1022=0,"EMPTY",B1022*Setup!$B$22*Setup!$G$6*Setup!$D$11))</f>
        <v>EMPTY</v>
      </c>
      <c r="E1022" s="31">
        <f>IF(Setup!$H$2=0,-1,IF(A1022=0,-1,A1022*1/(Setup!$G$6)))</f>
        <v>-1</v>
      </c>
      <c r="F1022" s="31"/>
    </row>
    <row r="1023" spans="3:6" ht="15.75" x14ac:dyDescent="0.25">
      <c r="C1023" s="29" t="str">
        <f>IF(B1023=0,"EMPTY",Setup!$D$11*((PI()*2*Setup!$B$22*A1023*B1023)/33000))</f>
        <v>EMPTY</v>
      </c>
      <c r="D1023" s="30" t="str">
        <f>IF(Setup!$H$2=0,"EMPTY",IF(B1023=0,"EMPTY",B1023*Setup!$B$22*Setup!$G$6*Setup!$D$11))</f>
        <v>EMPTY</v>
      </c>
      <c r="E1023" s="31">
        <f>IF(Setup!$H$2=0,-1,IF(A1023=0,-1,A1023*1/(Setup!$G$6)))</f>
        <v>-1</v>
      </c>
      <c r="F1023" s="31"/>
    </row>
    <row r="1024" spans="3:6" ht="15.75" x14ac:dyDescent="0.25">
      <c r="C1024" s="29" t="str">
        <f>IF(B1024=0,"EMPTY",Setup!$D$11*((PI()*2*Setup!$B$22*A1024*B1024)/33000))</f>
        <v>EMPTY</v>
      </c>
      <c r="D1024" s="30" t="str">
        <f>IF(Setup!$H$2=0,"EMPTY",IF(B1024=0,"EMPTY",B1024*Setup!$B$22*Setup!$G$6*Setup!$D$11))</f>
        <v>EMPTY</v>
      </c>
      <c r="E1024" s="31">
        <f>IF(Setup!$H$2=0,-1,IF(A1024=0,-1,A1024*1/(Setup!$G$6)))</f>
        <v>-1</v>
      </c>
      <c r="F1024" s="31"/>
    </row>
    <row r="1025" spans="3:6" ht="15.75" x14ac:dyDescent="0.25">
      <c r="C1025" s="29" t="str">
        <f>IF(B1025=0,"EMPTY",Setup!$D$11*((PI()*2*Setup!$B$22*A1025*B1025)/33000))</f>
        <v>EMPTY</v>
      </c>
      <c r="D1025" s="30" t="str">
        <f>IF(Setup!$H$2=0,"EMPTY",IF(B1025=0,"EMPTY",B1025*Setup!$B$22*Setup!$G$6*Setup!$D$11))</f>
        <v>EMPTY</v>
      </c>
      <c r="E1025" s="31">
        <f>IF(Setup!$H$2=0,-1,IF(A1025=0,-1,A1025*1/(Setup!$G$6)))</f>
        <v>-1</v>
      </c>
      <c r="F1025" s="31"/>
    </row>
    <row r="1026" spans="3:6" ht="15.75" x14ac:dyDescent="0.25">
      <c r="C1026" s="29" t="str">
        <f>IF(B1026=0,"EMPTY",Setup!$D$11*((PI()*2*Setup!$B$22*A1026*B1026)/33000))</f>
        <v>EMPTY</v>
      </c>
      <c r="D1026" s="30" t="str">
        <f>IF(Setup!$H$2=0,"EMPTY",IF(B1026=0,"EMPTY",B1026*Setup!$B$22*Setup!$G$6*Setup!$D$11))</f>
        <v>EMPTY</v>
      </c>
      <c r="E1026" s="31">
        <f>IF(Setup!$H$2=0,-1,IF(A1026=0,-1,A1026*1/(Setup!$G$6)))</f>
        <v>-1</v>
      </c>
      <c r="F1026" s="31"/>
    </row>
    <row r="1027" spans="3:6" ht="15.75" x14ac:dyDescent="0.25">
      <c r="C1027" s="29" t="str">
        <f>IF(B1027=0,"EMPTY",Setup!$D$11*((PI()*2*Setup!$B$22*A1027*B1027)/33000))</f>
        <v>EMPTY</v>
      </c>
      <c r="D1027" s="30" t="str">
        <f>IF(Setup!$H$2=0,"EMPTY",IF(B1027=0,"EMPTY",B1027*Setup!$B$22*Setup!$G$6*Setup!$D$11))</f>
        <v>EMPTY</v>
      </c>
      <c r="E1027" s="31">
        <f>IF(Setup!$H$2=0,-1,IF(A1027=0,-1,A1027*1/(Setup!$G$6)))</f>
        <v>-1</v>
      </c>
      <c r="F1027" s="31"/>
    </row>
    <row r="1028" spans="3:6" ht="15.75" x14ac:dyDescent="0.25">
      <c r="C1028" s="29" t="str">
        <f>IF(B1028=0,"EMPTY",Setup!$D$11*((PI()*2*Setup!$B$22*A1028*B1028)/33000))</f>
        <v>EMPTY</v>
      </c>
      <c r="D1028" s="30" t="str">
        <f>IF(Setup!$H$2=0,"EMPTY",IF(B1028=0,"EMPTY",B1028*Setup!$B$22*Setup!$G$6*Setup!$D$11))</f>
        <v>EMPTY</v>
      </c>
      <c r="E1028" s="31">
        <f>IF(Setup!$H$2=0,-1,IF(A1028=0,-1,A1028*1/(Setup!$G$6)))</f>
        <v>-1</v>
      </c>
      <c r="F1028" s="31"/>
    </row>
    <row r="1029" spans="3:6" ht="15.75" x14ac:dyDescent="0.25">
      <c r="C1029" s="29" t="str">
        <f>IF(B1029=0,"EMPTY",Setup!$D$11*((PI()*2*Setup!$B$22*A1029*B1029)/33000))</f>
        <v>EMPTY</v>
      </c>
      <c r="D1029" s="30" t="str">
        <f>IF(Setup!$H$2=0,"EMPTY",IF(B1029=0,"EMPTY",B1029*Setup!$B$22*Setup!$G$6*Setup!$D$11))</f>
        <v>EMPTY</v>
      </c>
      <c r="E1029" s="31">
        <f>IF(Setup!$H$2=0,-1,IF(A1029=0,-1,A1029*1/(Setup!$G$6)))</f>
        <v>-1</v>
      </c>
      <c r="F1029" s="31"/>
    </row>
    <row r="1030" spans="3:6" ht="15.75" x14ac:dyDescent="0.25">
      <c r="C1030" s="29" t="str">
        <f>IF(B1030=0,"EMPTY",Setup!$D$11*((PI()*2*Setup!$B$22*A1030*B1030)/33000))</f>
        <v>EMPTY</v>
      </c>
      <c r="D1030" s="30" t="str">
        <f>IF(Setup!$H$2=0,"EMPTY",IF(B1030=0,"EMPTY",B1030*Setup!$B$22*Setup!$G$6*Setup!$D$11))</f>
        <v>EMPTY</v>
      </c>
      <c r="E1030" s="31">
        <f>IF(Setup!$H$2=0,-1,IF(A1030=0,-1,A1030*1/(Setup!$G$6)))</f>
        <v>-1</v>
      </c>
      <c r="F1030" s="31"/>
    </row>
    <row r="1031" spans="3:6" ht="15.75" x14ac:dyDescent="0.25">
      <c r="C1031" s="29" t="str">
        <f>IF(B1031=0,"EMPTY",Setup!$D$11*((PI()*2*Setup!$B$22*A1031*B1031)/33000))</f>
        <v>EMPTY</v>
      </c>
      <c r="D1031" s="30" t="str">
        <f>IF(Setup!$H$2=0,"EMPTY",IF(B1031=0,"EMPTY",B1031*Setup!$B$22*Setup!$G$6*Setup!$D$11))</f>
        <v>EMPTY</v>
      </c>
      <c r="E1031" s="31">
        <f>IF(Setup!$H$2=0,-1,IF(A1031=0,-1,A1031*1/(Setup!$G$6)))</f>
        <v>-1</v>
      </c>
      <c r="F1031" s="31"/>
    </row>
    <row r="1032" spans="3:6" ht="15.75" x14ac:dyDescent="0.25">
      <c r="C1032" s="29" t="str">
        <f>IF(B1032=0,"EMPTY",Setup!$D$11*((PI()*2*Setup!$B$22*A1032*B1032)/33000))</f>
        <v>EMPTY</v>
      </c>
      <c r="D1032" s="30" t="str">
        <f>IF(Setup!$H$2=0,"EMPTY",IF(B1032=0,"EMPTY",B1032*Setup!$B$22*Setup!$G$6*Setup!$D$11))</f>
        <v>EMPTY</v>
      </c>
      <c r="E1032" s="31">
        <f>IF(Setup!$H$2=0,-1,IF(A1032=0,-1,A1032*1/(Setup!$G$6)))</f>
        <v>-1</v>
      </c>
      <c r="F1032" s="31"/>
    </row>
    <row r="1033" spans="3:6" ht="15.75" x14ac:dyDescent="0.25">
      <c r="C1033" s="29" t="str">
        <f>IF(B1033=0,"EMPTY",Setup!$D$11*((PI()*2*Setup!$B$22*A1033*B1033)/33000))</f>
        <v>EMPTY</v>
      </c>
      <c r="D1033" s="30" t="str">
        <f>IF(Setup!$H$2=0,"EMPTY",IF(B1033=0,"EMPTY",B1033*Setup!$B$22*Setup!$G$6*Setup!$D$11))</f>
        <v>EMPTY</v>
      </c>
      <c r="E1033" s="31">
        <f>IF(Setup!$H$2=0,-1,IF(A1033=0,-1,A1033*1/(Setup!$G$6)))</f>
        <v>-1</v>
      </c>
      <c r="F1033" s="31"/>
    </row>
    <row r="1034" spans="3:6" ht="15.75" x14ac:dyDescent="0.25">
      <c r="C1034" s="29" t="str">
        <f>IF(B1034=0,"EMPTY",Setup!$D$11*((PI()*2*Setup!$B$22*A1034*B1034)/33000))</f>
        <v>EMPTY</v>
      </c>
      <c r="D1034" s="30" t="str">
        <f>IF(Setup!$H$2=0,"EMPTY",IF(B1034=0,"EMPTY",B1034*Setup!$B$22*Setup!$G$6*Setup!$D$11))</f>
        <v>EMPTY</v>
      </c>
      <c r="E1034" s="31">
        <f>IF(Setup!$H$2=0,-1,IF(A1034=0,-1,A1034*1/(Setup!$G$6)))</f>
        <v>-1</v>
      </c>
      <c r="F1034" s="31"/>
    </row>
    <row r="1035" spans="3:6" ht="15.75" x14ac:dyDescent="0.25">
      <c r="C1035" s="29" t="str">
        <f>IF(B1035=0,"EMPTY",Setup!$D$11*((PI()*2*Setup!$B$22*A1035*B1035)/33000))</f>
        <v>EMPTY</v>
      </c>
      <c r="D1035" s="30" t="str">
        <f>IF(Setup!$H$2=0,"EMPTY",IF(B1035=0,"EMPTY",B1035*Setup!$B$22*Setup!$G$6*Setup!$D$11))</f>
        <v>EMPTY</v>
      </c>
      <c r="E1035" s="31">
        <f>IF(Setup!$H$2=0,-1,IF(A1035=0,-1,A1035*1/(Setup!$G$6)))</f>
        <v>-1</v>
      </c>
      <c r="F1035" s="31"/>
    </row>
    <row r="1036" spans="3:6" ht="15.75" x14ac:dyDescent="0.25">
      <c r="C1036" s="29" t="str">
        <f>IF(B1036=0,"EMPTY",Setup!$D$11*((PI()*2*Setup!$B$22*A1036*B1036)/33000))</f>
        <v>EMPTY</v>
      </c>
      <c r="D1036" s="30" t="str">
        <f>IF(Setup!$H$2=0,"EMPTY",IF(B1036=0,"EMPTY",B1036*Setup!$B$22*Setup!$G$6*Setup!$D$11))</f>
        <v>EMPTY</v>
      </c>
      <c r="E1036" s="31">
        <f>IF(Setup!$H$2=0,-1,IF(A1036=0,-1,A1036*1/(Setup!$G$6)))</f>
        <v>-1</v>
      </c>
      <c r="F1036" s="31"/>
    </row>
    <row r="1037" spans="3:6" ht="15.75" x14ac:dyDescent="0.25">
      <c r="C1037" s="29" t="str">
        <f>IF(B1037=0,"EMPTY",Setup!$D$11*((PI()*2*Setup!$B$22*A1037*B1037)/33000))</f>
        <v>EMPTY</v>
      </c>
      <c r="D1037" s="30" t="str">
        <f>IF(Setup!$H$2=0,"EMPTY",IF(B1037=0,"EMPTY",B1037*Setup!$B$22*Setup!$G$6*Setup!$D$11))</f>
        <v>EMPTY</v>
      </c>
      <c r="E1037" s="31">
        <f>IF(Setup!$H$2=0,-1,IF(A1037=0,-1,A1037*1/(Setup!$G$6)))</f>
        <v>-1</v>
      </c>
      <c r="F1037" s="31"/>
    </row>
    <row r="1038" spans="3:6" ht="15.75" x14ac:dyDescent="0.25">
      <c r="C1038" s="29" t="str">
        <f>IF(B1038=0,"EMPTY",Setup!$D$11*((PI()*2*Setup!$B$22*A1038*B1038)/33000))</f>
        <v>EMPTY</v>
      </c>
      <c r="D1038" s="30" t="str">
        <f>IF(Setup!$H$2=0,"EMPTY",IF(B1038=0,"EMPTY",B1038*Setup!$B$22*Setup!$G$6*Setup!$D$11))</f>
        <v>EMPTY</v>
      </c>
      <c r="E1038" s="31">
        <f>IF(Setup!$H$2=0,-1,IF(A1038=0,-1,A1038*1/(Setup!$G$6)))</f>
        <v>-1</v>
      </c>
      <c r="F1038" s="31"/>
    </row>
    <row r="1039" spans="3:6" ht="15.75" x14ac:dyDescent="0.25">
      <c r="C1039" s="29" t="str">
        <f>IF(B1039=0,"EMPTY",Setup!$D$11*((PI()*2*Setup!$B$22*A1039*B1039)/33000))</f>
        <v>EMPTY</v>
      </c>
      <c r="D1039" s="30" t="str">
        <f>IF(Setup!$H$2=0,"EMPTY",IF(B1039=0,"EMPTY",B1039*Setup!$B$22*Setup!$G$6*Setup!$D$11))</f>
        <v>EMPTY</v>
      </c>
      <c r="E1039" s="31">
        <f>IF(Setup!$H$2=0,-1,IF(A1039=0,-1,A1039*1/(Setup!$G$6)))</f>
        <v>-1</v>
      </c>
      <c r="F1039" s="31"/>
    </row>
    <row r="1040" spans="3:6" ht="15.75" x14ac:dyDescent="0.25">
      <c r="C1040" s="29" t="str">
        <f>IF(B1040=0,"EMPTY",Setup!$D$11*((PI()*2*Setup!$B$22*A1040*B1040)/33000))</f>
        <v>EMPTY</v>
      </c>
      <c r="D1040" s="30" t="str">
        <f>IF(Setup!$H$2=0,"EMPTY",IF(B1040=0,"EMPTY",B1040*Setup!$B$22*Setup!$G$6*Setup!$D$11))</f>
        <v>EMPTY</v>
      </c>
      <c r="E1040" s="31">
        <f>IF(Setup!$H$2=0,-1,IF(A1040=0,-1,A1040*1/(Setup!$G$6)))</f>
        <v>-1</v>
      </c>
      <c r="F1040" s="31"/>
    </row>
    <row r="1041" spans="3:6" ht="15.75" x14ac:dyDescent="0.25">
      <c r="C1041" s="29" t="str">
        <f>IF(B1041=0,"EMPTY",Setup!$D$11*((PI()*2*Setup!$B$22*A1041*B1041)/33000))</f>
        <v>EMPTY</v>
      </c>
      <c r="D1041" s="30" t="str">
        <f>IF(Setup!$H$2=0,"EMPTY",IF(B1041=0,"EMPTY",B1041*Setup!$B$22*Setup!$G$6*Setup!$D$11))</f>
        <v>EMPTY</v>
      </c>
      <c r="E1041" s="31">
        <f>IF(Setup!$H$2=0,-1,IF(A1041=0,-1,A1041*1/(Setup!$G$6)))</f>
        <v>-1</v>
      </c>
      <c r="F1041" s="31"/>
    </row>
    <row r="1042" spans="3:6" ht="15.75" x14ac:dyDescent="0.25">
      <c r="C1042" s="29" t="str">
        <f>IF(B1042=0,"EMPTY",Setup!$D$11*((PI()*2*Setup!$B$22*A1042*B1042)/33000))</f>
        <v>EMPTY</v>
      </c>
      <c r="D1042" s="30" t="str">
        <f>IF(Setup!$H$2=0,"EMPTY",IF(B1042=0,"EMPTY",B1042*Setup!$B$22*Setup!$G$6*Setup!$D$11))</f>
        <v>EMPTY</v>
      </c>
      <c r="E1042" s="31">
        <f>IF(Setup!$H$2=0,-1,IF(A1042=0,-1,A1042*1/(Setup!$G$6)))</f>
        <v>-1</v>
      </c>
      <c r="F1042" s="31"/>
    </row>
    <row r="1043" spans="3:6" ht="15.75" x14ac:dyDescent="0.25">
      <c r="C1043" s="29" t="str">
        <f>IF(B1043=0,"EMPTY",Setup!$D$11*((PI()*2*Setup!$B$22*A1043*B1043)/33000))</f>
        <v>EMPTY</v>
      </c>
      <c r="D1043" s="30" t="str">
        <f>IF(Setup!$H$2=0,"EMPTY",IF(B1043=0,"EMPTY",B1043*Setup!$B$22*Setup!$G$6*Setup!$D$11))</f>
        <v>EMPTY</v>
      </c>
      <c r="E1043" s="31">
        <f>IF(Setup!$H$2=0,-1,IF(A1043=0,-1,A1043*1/(Setup!$G$6)))</f>
        <v>-1</v>
      </c>
      <c r="F1043" s="31"/>
    </row>
    <row r="1044" spans="3:6" ht="15.75" x14ac:dyDescent="0.25">
      <c r="C1044" s="29" t="str">
        <f>IF(B1044=0,"EMPTY",Setup!$D$11*((PI()*2*Setup!$B$22*A1044*B1044)/33000))</f>
        <v>EMPTY</v>
      </c>
      <c r="D1044" s="30" t="str">
        <f>IF(Setup!$H$2=0,"EMPTY",IF(B1044=0,"EMPTY",B1044*Setup!$B$22*Setup!$G$6*Setup!$D$11))</f>
        <v>EMPTY</v>
      </c>
      <c r="E1044" s="31">
        <f>IF(Setup!$H$2=0,-1,IF(A1044=0,-1,A1044*1/(Setup!$G$6)))</f>
        <v>-1</v>
      </c>
      <c r="F1044" s="31"/>
    </row>
    <row r="1045" spans="3:6" ht="15.75" x14ac:dyDescent="0.25">
      <c r="C1045" s="29" t="str">
        <f>IF(B1045=0,"EMPTY",Setup!$D$11*((PI()*2*Setup!$B$22*A1045*B1045)/33000))</f>
        <v>EMPTY</v>
      </c>
      <c r="D1045" s="30" t="str">
        <f>IF(Setup!$H$2=0,"EMPTY",IF(B1045=0,"EMPTY",B1045*Setup!$B$22*Setup!$G$6*Setup!$D$11))</f>
        <v>EMPTY</v>
      </c>
      <c r="E1045" s="31">
        <f>IF(Setup!$H$2=0,-1,IF(A1045=0,-1,A1045*1/(Setup!$G$6)))</f>
        <v>-1</v>
      </c>
      <c r="F1045" s="31"/>
    </row>
    <row r="1046" spans="3:6" ht="15.75" x14ac:dyDescent="0.25">
      <c r="C1046" s="29" t="str">
        <f>IF(B1046=0,"EMPTY",Setup!$D$11*((PI()*2*Setup!$B$22*A1046*B1046)/33000))</f>
        <v>EMPTY</v>
      </c>
      <c r="D1046" s="30" t="str">
        <f>IF(Setup!$H$2=0,"EMPTY",IF(B1046=0,"EMPTY",B1046*Setup!$B$22*Setup!$G$6*Setup!$D$11))</f>
        <v>EMPTY</v>
      </c>
      <c r="E1046" s="31">
        <f>IF(Setup!$H$2=0,-1,IF(A1046=0,-1,A1046*1/(Setup!$G$6)))</f>
        <v>-1</v>
      </c>
      <c r="F1046" s="31"/>
    </row>
    <row r="1047" spans="3:6" ht="15.75" x14ac:dyDescent="0.25">
      <c r="C1047" s="29" t="str">
        <f>IF(B1047=0,"EMPTY",Setup!$D$11*((PI()*2*Setup!$B$22*A1047*B1047)/33000))</f>
        <v>EMPTY</v>
      </c>
      <c r="D1047" s="30" t="str">
        <f>IF(Setup!$H$2=0,"EMPTY",IF(B1047=0,"EMPTY",B1047*Setup!$B$22*Setup!$G$6*Setup!$D$11))</f>
        <v>EMPTY</v>
      </c>
      <c r="E1047" s="31">
        <f>IF(Setup!$H$2=0,-1,IF(A1047=0,-1,A1047*1/(Setup!$G$6)))</f>
        <v>-1</v>
      </c>
      <c r="F1047" s="31"/>
    </row>
    <row r="1048" spans="3:6" ht="15.75" x14ac:dyDescent="0.25">
      <c r="C1048" s="29" t="str">
        <f>IF(B1048=0,"EMPTY",Setup!$D$11*((PI()*2*Setup!$B$22*A1048*B1048)/33000))</f>
        <v>EMPTY</v>
      </c>
      <c r="D1048" s="30" t="str">
        <f>IF(Setup!$H$2=0,"EMPTY",IF(B1048=0,"EMPTY",B1048*Setup!$B$22*Setup!$G$6*Setup!$D$11))</f>
        <v>EMPTY</v>
      </c>
      <c r="E1048" s="31">
        <f>IF(Setup!$H$2=0,-1,IF(A1048=0,-1,A1048*1/(Setup!$G$6)))</f>
        <v>-1</v>
      </c>
      <c r="F1048" s="31"/>
    </row>
    <row r="1049" spans="3:6" ht="15.75" x14ac:dyDescent="0.25">
      <c r="C1049" s="29" t="str">
        <f>IF(B1049=0,"EMPTY",Setup!$D$11*((PI()*2*Setup!$B$22*A1049*B1049)/33000))</f>
        <v>EMPTY</v>
      </c>
      <c r="D1049" s="30" t="str">
        <f>IF(Setup!$H$2=0,"EMPTY",IF(B1049=0,"EMPTY",B1049*Setup!$B$22*Setup!$G$6*Setup!$D$11))</f>
        <v>EMPTY</v>
      </c>
      <c r="E1049" s="31">
        <f>IF(Setup!$H$2=0,-1,IF(A1049=0,-1,A1049*1/(Setup!$G$6)))</f>
        <v>-1</v>
      </c>
      <c r="F1049" s="31"/>
    </row>
    <row r="1050" spans="3:6" ht="15.75" x14ac:dyDescent="0.25">
      <c r="C1050" s="29" t="str">
        <f>IF(B1050=0,"EMPTY",Setup!$D$11*((PI()*2*Setup!$B$22*A1050*B1050)/33000))</f>
        <v>EMPTY</v>
      </c>
      <c r="D1050" s="30" t="str">
        <f>IF(Setup!$H$2=0,"EMPTY",IF(B1050=0,"EMPTY",B1050*Setup!$B$22*Setup!$G$6*Setup!$D$11))</f>
        <v>EMPTY</v>
      </c>
      <c r="E1050" s="31">
        <f>IF(Setup!$H$2=0,-1,IF(A1050=0,-1,A1050*1/(Setup!$G$6)))</f>
        <v>-1</v>
      </c>
      <c r="F1050" s="31"/>
    </row>
    <row r="1051" spans="3:6" ht="15.75" x14ac:dyDescent="0.25">
      <c r="C1051" s="29" t="str">
        <f>IF(B1051=0,"EMPTY",Setup!$D$11*((PI()*2*Setup!$B$22*A1051*B1051)/33000))</f>
        <v>EMPTY</v>
      </c>
      <c r="D1051" s="30" t="str">
        <f>IF(Setup!$H$2=0,"EMPTY",IF(B1051=0,"EMPTY",B1051*Setup!$B$22*Setup!$G$6*Setup!$D$11))</f>
        <v>EMPTY</v>
      </c>
      <c r="E1051" s="31">
        <f>IF(Setup!$H$2=0,-1,IF(A1051=0,-1,A1051*1/(Setup!$G$6)))</f>
        <v>-1</v>
      </c>
      <c r="F1051" s="31"/>
    </row>
    <row r="1052" spans="3:6" ht="15.75" x14ac:dyDescent="0.25">
      <c r="C1052" s="29" t="str">
        <f>IF(B1052=0,"EMPTY",Setup!$D$11*((PI()*2*Setup!$B$22*A1052*B1052)/33000))</f>
        <v>EMPTY</v>
      </c>
      <c r="D1052" s="30" t="str">
        <f>IF(Setup!$H$2=0,"EMPTY",IF(B1052=0,"EMPTY",B1052*Setup!$B$22*Setup!$G$6*Setup!$D$11))</f>
        <v>EMPTY</v>
      </c>
      <c r="E1052" s="31">
        <f>IF(Setup!$H$2=0,-1,IF(A1052=0,-1,A1052*1/(Setup!$G$6)))</f>
        <v>-1</v>
      </c>
      <c r="F1052" s="31"/>
    </row>
    <row r="1053" spans="3:6" ht="15.75" x14ac:dyDescent="0.25">
      <c r="C1053" s="29" t="str">
        <f>IF(B1053=0,"EMPTY",Setup!$D$11*((PI()*2*Setup!$B$22*A1053*B1053)/33000))</f>
        <v>EMPTY</v>
      </c>
      <c r="D1053" s="30" t="str">
        <f>IF(Setup!$H$2=0,"EMPTY",IF(B1053=0,"EMPTY",B1053*Setup!$B$22*Setup!$G$6*Setup!$D$11))</f>
        <v>EMPTY</v>
      </c>
      <c r="E1053" s="31">
        <f>IF(Setup!$H$2=0,-1,IF(A1053=0,-1,A1053*1/(Setup!$G$6)))</f>
        <v>-1</v>
      </c>
      <c r="F1053" s="31"/>
    </row>
    <row r="1054" spans="3:6" ht="15.75" x14ac:dyDescent="0.25">
      <c r="C1054" s="29" t="str">
        <f>IF(B1054=0,"EMPTY",Setup!$D$11*((PI()*2*Setup!$B$22*A1054*B1054)/33000))</f>
        <v>EMPTY</v>
      </c>
      <c r="D1054" s="30" t="str">
        <f>IF(Setup!$H$2=0,"EMPTY",IF(B1054=0,"EMPTY",B1054*Setup!$B$22*Setup!$G$6*Setup!$D$11))</f>
        <v>EMPTY</v>
      </c>
      <c r="E1054" s="31">
        <f>IF(Setup!$H$2=0,-1,IF(A1054=0,-1,A1054*1/(Setup!$G$6)))</f>
        <v>-1</v>
      </c>
      <c r="F1054" s="31"/>
    </row>
    <row r="1055" spans="3:6" ht="15.75" x14ac:dyDescent="0.25">
      <c r="C1055" s="29" t="str">
        <f>IF(B1055=0,"EMPTY",Setup!$D$11*((PI()*2*Setup!$B$22*A1055*B1055)/33000))</f>
        <v>EMPTY</v>
      </c>
      <c r="D1055" s="30" t="str">
        <f>IF(Setup!$H$2=0,"EMPTY",IF(B1055=0,"EMPTY",B1055*Setup!$B$22*Setup!$G$6*Setup!$D$11))</f>
        <v>EMPTY</v>
      </c>
      <c r="E1055" s="31">
        <f>IF(Setup!$H$2=0,-1,IF(A1055=0,-1,A1055*1/(Setup!$G$6)))</f>
        <v>-1</v>
      </c>
      <c r="F1055" s="31"/>
    </row>
    <row r="1056" spans="3:6" ht="15.75" x14ac:dyDescent="0.25">
      <c r="C1056" s="29" t="str">
        <f>IF(B1056=0,"EMPTY",Setup!$D$11*((PI()*2*Setup!$B$22*A1056*B1056)/33000))</f>
        <v>EMPTY</v>
      </c>
      <c r="D1056" s="30" t="str">
        <f>IF(Setup!$H$2=0,"EMPTY",IF(B1056=0,"EMPTY",B1056*Setup!$B$22*Setup!$G$6*Setup!$D$11))</f>
        <v>EMPTY</v>
      </c>
      <c r="E1056" s="31">
        <f>IF(Setup!$H$2=0,-1,IF(A1056=0,-1,A1056*1/(Setup!$G$6)))</f>
        <v>-1</v>
      </c>
      <c r="F1056" s="31"/>
    </row>
    <row r="1057" spans="3:6" ht="15.75" x14ac:dyDescent="0.25">
      <c r="C1057" s="29" t="str">
        <f>IF(B1057=0,"EMPTY",Setup!$D$11*((PI()*2*Setup!$B$22*A1057*B1057)/33000))</f>
        <v>EMPTY</v>
      </c>
      <c r="D1057" s="30" t="str">
        <f>IF(Setup!$H$2=0,"EMPTY",IF(B1057=0,"EMPTY",B1057*Setup!$B$22*Setup!$G$6*Setup!$D$11))</f>
        <v>EMPTY</v>
      </c>
      <c r="E1057" s="31">
        <f>IF(Setup!$H$2=0,-1,IF(A1057=0,-1,A1057*1/(Setup!$G$6)))</f>
        <v>-1</v>
      </c>
      <c r="F1057" s="31"/>
    </row>
    <row r="1058" spans="3:6" ht="15.75" x14ac:dyDescent="0.25">
      <c r="C1058" s="29" t="str">
        <f>IF(B1058=0,"EMPTY",Setup!$D$11*((PI()*2*Setup!$B$22*A1058*B1058)/33000))</f>
        <v>EMPTY</v>
      </c>
      <c r="D1058" s="30" t="str">
        <f>IF(Setup!$H$2=0,"EMPTY",IF(B1058=0,"EMPTY",B1058*Setup!$B$22*Setup!$G$6*Setup!$D$11))</f>
        <v>EMPTY</v>
      </c>
      <c r="E1058" s="31">
        <f>IF(Setup!$H$2=0,-1,IF(A1058=0,-1,A1058*1/(Setup!$G$6)))</f>
        <v>-1</v>
      </c>
      <c r="F1058" s="31"/>
    </row>
    <row r="1059" spans="3:6" ht="15.75" x14ac:dyDescent="0.25">
      <c r="C1059" s="29" t="str">
        <f>IF(B1059=0,"EMPTY",Setup!$D$11*((PI()*2*Setup!$B$22*A1059*B1059)/33000))</f>
        <v>EMPTY</v>
      </c>
      <c r="D1059" s="30" t="str">
        <f>IF(Setup!$H$2=0,"EMPTY",IF(B1059=0,"EMPTY",B1059*Setup!$B$22*Setup!$G$6*Setup!$D$11))</f>
        <v>EMPTY</v>
      </c>
      <c r="E1059" s="31">
        <f>IF(Setup!$H$2=0,-1,IF(A1059=0,-1,A1059*1/(Setup!$G$6)))</f>
        <v>-1</v>
      </c>
      <c r="F1059" s="31"/>
    </row>
    <row r="1060" spans="3:6" ht="15.75" x14ac:dyDescent="0.25">
      <c r="C1060" s="29" t="str">
        <f>IF(B1060=0,"EMPTY",Setup!$D$11*((PI()*2*Setup!$B$22*A1060*B1060)/33000))</f>
        <v>EMPTY</v>
      </c>
      <c r="D1060" s="30" t="str">
        <f>IF(Setup!$H$2=0,"EMPTY",IF(B1060=0,"EMPTY",B1060*Setup!$B$22*Setup!$G$6*Setup!$D$11))</f>
        <v>EMPTY</v>
      </c>
      <c r="E1060" s="31">
        <f>IF(Setup!$H$2=0,-1,IF(A1060=0,-1,A1060*1/(Setup!$G$6)))</f>
        <v>-1</v>
      </c>
      <c r="F1060" s="31"/>
    </row>
    <row r="1061" spans="3:6" ht="15.75" x14ac:dyDescent="0.25">
      <c r="C1061" s="29" t="str">
        <f>IF(B1061=0,"EMPTY",Setup!$D$11*((PI()*2*Setup!$B$22*A1061*B1061)/33000))</f>
        <v>EMPTY</v>
      </c>
      <c r="D1061" s="30" t="str">
        <f>IF(Setup!$H$2=0,"EMPTY",IF(B1061=0,"EMPTY",B1061*Setup!$B$22*Setup!$G$6*Setup!$D$11))</f>
        <v>EMPTY</v>
      </c>
      <c r="E1061" s="31">
        <f>IF(Setup!$H$2=0,-1,IF(A1061=0,-1,A1061*1/(Setup!$G$6)))</f>
        <v>-1</v>
      </c>
      <c r="F1061" s="31"/>
    </row>
    <row r="1062" spans="3:6" ht="15.75" x14ac:dyDescent="0.25">
      <c r="C1062" s="29" t="str">
        <f>IF(B1062=0,"EMPTY",Setup!$D$11*((PI()*2*Setup!$B$22*A1062*B1062)/33000))</f>
        <v>EMPTY</v>
      </c>
      <c r="D1062" s="30" t="str">
        <f>IF(Setup!$H$2=0,"EMPTY",IF(B1062=0,"EMPTY",B1062*Setup!$B$22*Setup!$G$6*Setup!$D$11))</f>
        <v>EMPTY</v>
      </c>
      <c r="E1062" s="31">
        <f>IF(Setup!$H$2=0,-1,IF(A1062=0,-1,A1062*1/(Setup!$G$6)))</f>
        <v>-1</v>
      </c>
      <c r="F1062" s="31"/>
    </row>
    <row r="1063" spans="3:6" ht="15.75" x14ac:dyDescent="0.25">
      <c r="C1063" s="29" t="str">
        <f>IF(B1063=0,"EMPTY",Setup!$D$11*((PI()*2*Setup!$B$22*A1063*B1063)/33000))</f>
        <v>EMPTY</v>
      </c>
      <c r="D1063" s="30" t="str">
        <f>IF(Setup!$H$2=0,"EMPTY",IF(B1063=0,"EMPTY",B1063*Setup!$B$22*Setup!$G$6*Setup!$D$11))</f>
        <v>EMPTY</v>
      </c>
      <c r="E1063" s="31">
        <f>IF(Setup!$H$2=0,-1,IF(A1063=0,-1,A1063*1/(Setup!$G$6)))</f>
        <v>-1</v>
      </c>
      <c r="F1063" s="31"/>
    </row>
    <row r="1064" spans="3:6" ht="15.75" x14ac:dyDescent="0.25">
      <c r="C1064" s="29" t="str">
        <f>IF(B1064=0,"EMPTY",Setup!$D$11*((PI()*2*Setup!$B$22*A1064*B1064)/33000))</f>
        <v>EMPTY</v>
      </c>
      <c r="D1064" s="30" t="str">
        <f>IF(Setup!$H$2=0,"EMPTY",IF(B1064=0,"EMPTY",B1064*Setup!$B$22*Setup!$G$6*Setup!$D$11))</f>
        <v>EMPTY</v>
      </c>
      <c r="E1064" s="31">
        <f>IF(Setup!$H$2=0,-1,IF(A1064=0,-1,A1064*1/(Setup!$G$6)))</f>
        <v>-1</v>
      </c>
      <c r="F1064" s="31"/>
    </row>
    <row r="1065" spans="3:6" ht="15.75" x14ac:dyDescent="0.25">
      <c r="C1065" s="29" t="str">
        <f>IF(B1065=0,"EMPTY",Setup!$D$11*((PI()*2*Setup!$B$22*A1065*B1065)/33000))</f>
        <v>EMPTY</v>
      </c>
      <c r="D1065" s="30" t="str">
        <f>IF(Setup!$H$2=0,"EMPTY",IF(B1065=0,"EMPTY",B1065*Setup!$B$22*Setup!$G$6*Setup!$D$11))</f>
        <v>EMPTY</v>
      </c>
      <c r="E1065" s="31">
        <f>IF(Setup!$H$2=0,-1,IF(A1065=0,-1,A1065*1/(Setup!$G$6)))</f>
        <v>-1</v>
      </c>
      <c r="F1065" s="31"/>
    </row>
    <row r="1066" spans="3:6" ht="15.75" x14ac:dyDescent="0.25">
      <c r="C1066" s="29" t="str">
        <f>IF(B1066=0,"EMPTY",Setup!$D$11*((PI()*2*Setup!$B$22*A1066*B1066)/33000))</f>
        <v>EMPTY</v>
      </c>
      <c r="D1066" s="30" t="str">
        <f>IF(Setup!$H$2=0,"EMPTY",IF(B1066=0,"EMPTY",B1066*Setup!$B$22*Setup!$G$6*Setup!$D$11))</f>
        <v>EMPTY</v>
      </c>
      <c r="E1066" s="31">
        <f>IF(Setup!$H$2=0,-1,IF(A1066=0,-1,A1066*1/(Setup!$G$6)))</f>
        <v>-1</v>
      </c>
      <c r="F1066" s="31"/>
    </row>
    <row r="1067" spans="3:6" ht="15.75" x14ac:dyDescent="0.25">
      <c r="C1067" s="29" t="str">
        <f>IF(B1067=0,"EMPTY",Setup!$D$11*((PI()*2*Setup!$B$22*A1067*B1067)/33000))</f>
        <v>EMPTY</v>
      </c>
      <c r="D1067" s="30" t="str">
        <f>IF(Setup!$H$2=0,"EMPTY",IF(B1067=0,"EMPTY",B1067*Setup!$B$22*Setup!$G$6*Setup!$D$11))</f>
        <v>EMPTY</v>
      </c>
      <c r="E1067" s="31">
        <f>IF(Setup!$H$2=0,-1,IF(A1067=0,-1,A1067*1/(Setup!$G$6)))</f>
        <v>-1</v>
      </c>
      <c r="F1067" s="31"/>
    </row>
    <row r="1068" spans="3:6" ht="15.75" x14ac:dyDescent="0.25">
      <c r="C1068" s="29" t="str">
        <f>IF(B1068=0,"EMPTY",Setup!$D$11*((PI()*2*Setup!$B$22*A1068*B1068)/33000))</f>
        <v>EMPTY</v>
      </c>
      <c r="D1068" s="30" t="str">
        <f>IF(Setup!$H$2=0,"EMPTY",IF(B1068=0,"EMPTY",B1068*Setup!$B$22*Setup!$G$6*Setup!$D$11))</f>
        <v>EMPTY</v>
      </c>
      <c r="E1068" s="31">
        <f>IF(Setup!$H$2=0,-1,IF(A1068=0,-1,A1068*1/(Setup!$G$6)))</f>
        <v>-1</v>
      </c>
      <c r="F1068" s="31"/>
    </row>
    <row r="1069" spans="3:6" ht="15.75" x14ac:dyDescent="0.25">
      <c r="C1069" s="29" t="str">
        <f>IF(B1069=0,"EMPTY",Setup!$D$11*((PI()*2*Setup!$B$22*A1069*B1069)/33000))</f>
        <v>EMPTY</v>
      </c>
      <c r="D1069" s="30" t="str">
        <f>IF(Setup!$H$2=0,"EMPTY",IF(B1069=0,"EMPTY",B1069*Setup!$B$22*Setup!$G$6*Setup!$D$11))</f>
        <v>EMPTY</v>
      </c>
      <c r="E1069" s="31">
        <f>IF(Setup!$H$2=0,-1,IF(A1069=0,-1,A1069*1/(Setup!$G$6)))</f>
        <v>-1</v>
      </c>
      <c r="F1069" s="31"/>
    </row>
    <row r="1070" spans="3:6" ht="15.75" x14ac:dyDescent="0.25">
      <c r="C1070" s="29" t="str">
        <f>IF(B1070=0,"EMPTY",Setup!$D$11*((PI()*2*Setup!$B$22*A1070*B1070)/33000))</f>
        <v>EMPTY</v>
      </c>
      <c r="D1070" s="30" t="str">
        <f>IF(Setup!$H$2=0,"EMPTY",IF(B1070=0,"EMPTY",B1070*Setup!$B$22*Setup!$G$6*Setup!$D$11))</f>
        <v>EMPTY</v>
      </c>
      <c r="E1070" s="31">
        <f>IF(Setup!$H$2=0,-1,IF(A1070=0,-1,A1070*1/(Setup!$G$6)))</f>
        <v>-1</v>
      </c>
      <c r="F1070" s="31"/>
    </row>
    <row r="1071" spans="3:6" ht="15.75" x14ac:dyDescent="0.25">
      <c r="C1071" s="29" t="str">
        <f>IF(B1071=0,"EMPTY",Setup!$D$11*((PI()*2*Setup!$B$22*A1071*B1071)/33000))</f>
        <v>EMPTY</v>
      </c>
      <c r="D1071" s="30" t="str">
        <f>IF(Setup!$H$2=0,"EMPTY",IF(B1071=0,"EMPTY",B1071*Setup!$B$22*Setup!$G$6*Setup!$D$11))</f>
        <v>EMPTY</v>
      </c>
      <c r="E1071" s="31">
        <f>IF(Setup!$H$2=0,-1,IF(A1071=0,-1,A1071*1/(Setup!$G$6)))</f>
        <v>-1</v>
      </c>
      <c r="F1071" s="31"/>
    </row>
    <row r="1072" spans="3:6" ht="15.75" x14ac:dyDescent="0.25">
      <c r="C1072" s="29" t="str">
        <f>IF(B1072=0,"EMPTY",Setup!$D$11*((PI()*2*Setup!$B$22*A1072*B1072)/33000))</f>
        <v>EMPTY</v>
      </c>
      <c r="D1072" s="30" t="str">
        <f>IF(Setup!$H$2=0,"EMPTY",IF(B1072=0,"EMPTY",B1072*Setup!$B$22*Setup!$G$6*Setup!$D$11))</f>
        <v>EMPTY</v>
      </c>
      <c r="E1072" s="31">
        <f>IF(Setup!$H$2=0,-1,IF(A1072=0,-1,A1072*1/(Setup!$G$6)))</f>
        <v>-1</v>
      </c>
      <c r="F1072" s="31"/>
    </row>
    <row r="1073" spans="3:6" ht="15.75" x14ac:dyDescent="0.25">
      <c r="C1073" s="29" t="str">
        <f>IF(B1073=0,"EMPTY",Setup!$D$11*((PI()*2*Setup!$B$22*A1073*B1073)/33000))</f>
        <v>EMPTY</v>
      </c>
      <c r="D1073" s="30" t="str">
        <f>IF(Setup!$H$2=0,"EMPTY",IF(B1073=0,"EMPTY",B1073*Setup!$B$22*Setup!$G$6*Setup!$D$11))</f>
        <v>EMPTY</v>
      </c>
      <c r="E1073" s="31">
        <f>IF(Setup!$H$2=0,-1,IF(A1073=0,-1,A1073*1/(Setup!$G$6)))</f>
        <v>-1</v>
      </c>
      <c r="F1073" s="31"/>
    </row>
    <row r="1074" spans="3:6" ht="15.75" x14ac:dyDescent="0.25">
      <c r="C1074" s="29" t="str">
        <f>IF(B1074=0,"EMPTY",Setup!$D$11*((PI()*2*Setup!$B$22*A1074*B1074)/33000))</f>
        <v>EMPTY</v>
      </c>
      <c r="D1074" s="30" t="str">
        <f>IF(Setup!$H$2=0,"EMPTY",IF(B1074=0,"EMPTY",B1074*Setup!$B$22*Setup!$G$6*Setup!$D$11))</f>
        <v>EMPTY</v>
      </c>
      <c r="E1074" s="31">
        <f>IF(Setup!$H$2=0,-1,IF(A1074=0,-1,A1074*1/(Setup!$G$6)))</f>
        <v>-1</v>
      </c>
      <c r="F1074" s="31"/>
    </row>
    <row r="1075" spans="3:6" ht="15.75" x14ac:dyDescent="0.25">
      <c r="C1075" s="29" t="str">
        <f>IF(B1075=0,"EMPTY",Setup!$D$11*((PI()*2*Setup!$B$22*A1075*B1075)/33000))</f>
        <v>EMPTY</v>
      </c>
      <c r="D1075" s="30" t="str">
        <f>IF(Setup!$H$2=0,"EMPTY",IF(B1075=0,"EMPTY",B1075*Setup!$B$22*Setup!$G$6*Setup!$D$11))</f>
        <v>EMPTY</v>
      </c>
      <c r="E1075" s="31">
        <f>IF(Setup!$H$2=0,-1,IF(A1075=0,-1,A1075*1/(Setup!$G$6)))</f>
        <v>-1</v>
      </c>
      <c r="F1075" s="31"/>
    </row>
    <row r="1076" spans="3:6" ht="15.75" x14ac:dyDescent="0.25">
      <c r="C1076" s="29" t="str">
        <f>IF(B1076=0,"EMPTY",Setup!$D$11*((PI()*2*Setup!$B$22*A1076*B1076)/33000))</f>
        <v>EMPTY</v>
      </c>
      <c r="D1076" s="30" t="str">
        <f>IF(Setup!$H$2=0,"EMPTY",IF(B1076=0,"EMPTY",B1076*Setup!$B$22*Setup!$G$6*Setup!$D$11))</f>
        <v>EMPTY</v>
      </c>
      <c r="E1076" s="31">
        <f>IF(Setup!$H$2=0,-1,IF(A1076=0,-1,A1076*1/(Setup!$G$6)))</f>
        <v>-1</v>
      </c>
      <c r="F1076" s="31"/>
    </row>
    <row r="1077" spans="3:6" ht="15.75" x14ac:dyDescent="0.25">
      <c r="C1077" s="29" t="str">
        <f>IF(B1077=0,"EMPTY",Setup!$D$11*((PI()*2*Setup!$B$22*A1077*B1077)/33000))</f>
        <v>EMPTY</v>
      </c>
      <c r="D1077" s="30" t="str">
        <f>IF(Setup!$H$2=0,"EMPTY",IF(B1077=0,"EMPTY",B1077*Setup!$B$22*Setup!$G$6*Setup!$D$11))</f>
        <v>EMPTY</v>
      </c>
      <c r="E1077" s="31">
        <f>IF(Setup!$H$2=0,-1,IF(A1077=0,-1,A1077*1/(Setup!$G$6)))</f>
        <v>-1</v>
      </c>
      <c r="F1077" s="31"/>
    </row>
    <row r="1078" spans="3:6" ht="15.75" x14ac:dyDescent="0.25">
      <c r="C1078" s="29" t="str">
        <f>IF(B1078=0,"EMPTY",Setup!$D$11*((PI()*2*Setup!$B$22*A1078*B1078)/33000))</f>
        <v>EMPTY</v>
      </c>
      <c r="D1078" s="30" t="str">
        <f>IF(Setup!$H$2=0,"EMPTY",IF(B1078=0,"EMPTY",B1078*Setup!$B$22*Setup!$G$6*Setup!$D$11))</f>
        <v>EMPTY</v>
      </c>
      <c r="E1078" s="31">
        <f>IF(Setup!$H$2=0,-1,IF(A1078=0,-1,A1078*1/(Setup!$G$6)))</f>
        <v>-1</v>
      </c>
      <c r="F1078" s="31"/>
    </row>
    <row r="1079" spans="3:6" ht="15.75" x14ac:dyDescent="0.25">
      <c r="C1079" s="29" t="str">
        <f>IF(B1079=0,"EMPTY",Setup!$D$11*((PI()*2*Setup!$B$22*A1079*B1079)/33000))</f>
        <v>EMPTY</v>
      </c>
      <c r="D1079" s="30" t="str">
        <f>IF(Setup!$H$2=0,"EMPTY",IF(B1079=0,"EMPTY",B1079*Setup!$B$22*Setup!$G$6*Setup!$D$11))</f>
        <v>EMPTY</v>
      </c>
      <c r="E1079" s="31">
        <f>IF(Setup!$H$2=0,-1,IF(A1079=0,-1,A1079*1/(Setup!$G$6)))</f>
        <v>-1</v>
      </c>
      <c r="F1079" s="31"/>
    </row>
    <row r="1080" spans="3:6" ht="15.75" x14ac:dyDescent="0.25">
      <c r="C1080" s="29" t="str">
        <f>IF(B1080=0,"EMPTY",Setup!$D$11*((PI()*2*Setup!$B$22*A1080*B1080)/33000))</f>
        <v>EMPTY</v>
      </c>
      <c r="D1080" s="30" t="str">
        <f>IF(Setup!$H$2=0,"EMPTY",IF(B1080=0,"EMPTY",B1080*Setup!$B$22*Setup!$G$6*Setup!$D$11))</f>
        <v>EMPTY</v>
      </c>
      <c r="E1080" s="31">
        <f>IF(Setup!$H$2=0,-1,IF(A1080=0,-1,A1080*1/(Setup!$G$6)))</f>
        <v>-1</v>
      </c>
      <c r="F1080" s="31"/>
    </row>
    <row r="1081" spans="3:6" ht="15.75" x14ac:dyDescent="0.25">
      <c r="C1081" s="29" t="str">
        <f>IF(B1081=0,"EMPTY",Setup!$D$11*((PI()*2*Setup!$B$22*A1081*B1081)/33000))</f>
        <v>EMPTY</v>
      </c>
      <c r="D1081" s="30" t="str">
        <f>IF(Setup!$H$2=0,"EMPTY",IF(B1081=0,"EMPTY",B1081*Setup!$B$22*Setup!$G$6*Setup!$D$11))</f>
        <v>EMPTY</v>
      </c>
      <c r="E1081" s="31">
        <f>IF(Setup!$H$2=0,-1,IF(A1081=0,-1,A1081*1/(Setup!$G$6)))</f>
        <v>-1</v>
      </c>
      <c r="F1081" s="31"/>
    </row>
    <row r="1082" spans="3:6" ht="15.75" x14ac:dyDescent="0.25">
      <c r="C1082" s="29" t="str">
        <f>IF(B1082=0,"EMPTY",Setup!$D$11*((PI()*2*Setup!$B$22*A1082*B1082)/33000))</f>
        <v>EMPTY</v>
      </c>
      <c r="D1082" s="30" t="str">
        <f>IF(Setup!$H$2=0,"EMPTY",IF(B1082=0,"EMPTY",B1082*Setup!$B$22*Setup!$G$6*Setup!$D$11))</f>
        <v>EMPTY</v>
      </c>
      <c r="E1082" s="31">
        <f>IF(Setup!$H$2=0,-1,IF(A1082=0,-1,A1082*1/(Setup!$G$6)))</f>
        <v>-1</v>
      </c>
      <c r="F1082" s="31"/>
    </row>
    <row r="1083" spans="3:6" ht="15.75" x14ac:dyDescent="0.25">
      <c r="C1083" s="29" t="str">
        <f>IF(B1083=0,"EMPTY",Setup!$D$11*((PI()*2*Setup!$B$22*A1083*B1083)/33000))</f>
        <v>EMPTY</v>
      </c>
      <c r="D1083" s="30" t="str">
        <f>IF(Setup!$H$2=0,"EMPTY",IF(B1083=0,"EMPTY",B1083*Setup!$B$22*Setup!$G$6*Setup!$D$11))</f>
        <v>EMPTY</v>
      </c>
      <c r="E1083" s="31">
        <f>IF(Setup!$H$2=0,-1,IF(A1083=0,-1,A1083*1/(Setup!$G$6)))</f>
        <v>-1</v>
      </c>
      <c r="F1083" s="31"/>
    </row>
    <row r="1084" spans="3:6" ht="15.75" x14ac:dyDescent="0.25">
      <c r="C1084" s="29" t="str">
        <f>IF(B1084=0,"EMPTY",Setup!$D$11*((PI()*2*Setup!$B$22*A1084*B1084)/33000))</f>
        <v>EMPTY</v>
      </c>
      <c r="D1084" s="30" t="str">
        <f>IF(Setup!$H$2=0,"EMPTY",IF(B1084=0,"EMPTY",B1084*Setup!$B$22*Setup!$G$6*Setup!$D$11))</f>
        <v>EMPTY</v>
      </c>
      <c r="E1084" s="31">
        <f>IF(Setup!$H$2=0,-1,IF(A1084=0,-1,A1084*1/(Setup!$G$6)))</f>
        <v>-1</v>
      </c>
      <c r="F1084" s="31"/>
    </row>
    <row r="1085" spans="3:6" ht="15.75" x14ac:dyDescent="0.25">
      <c r="C1085" s="29" t="str">
        <f>IF(B1085=0,"EMPTY",Setup!$D$11*((PI()*2*Setup!$B$22*A1085*B1085)/33000))</f>
        <v>EMPTY</v>
      </c>
      <c r="D1085" s="30" t="str">
        <f>IF(Setup!$H$2=0,"EMPTY",IF(B1085=0,"EMPTY",B1085*Setup!$B$22*Setup!$G$6*Setup!$D$11))</f>
        <v>EMPTY</v>
      </c>
      <c r="E1085" s="31">
        <f>IF(Setup!$H$2=0,-1,IF(A1085=0,-1,A1085*1/(Setup!$G$6)))</f>
        <v>-1</v>
      </c>
      <c r="F1085" s="31"/>
    </row>
    <row r="1086" spans="3:6" ht="15.75" x14ac:dyDescent="0.25">
      <c r="C1086" s="29" t="str">
        <f>IF(B1086=0,"EMPTY",Setup!$D$11*((PI()*2*Setup!$B$22*A1086*B1086)/33000))</f>
        <v>EMPTY</v>
      </c>
      <c r="D1086" s="30" t="str">
        <f>IF(Setup!$H$2=0,"EMPTY",IF(B1086=0,"EMPTY",B1086*Setup!$B$22*Setup!$G$6*Setup!$D$11))</f>
        <v>EMPTY</v>
      </c>
      <c r="E1086" s="31">
        <f>IF(Setup!$H$2=0,-1,IF(A1086=0,-1,A1086*1/(Setup!$G$6)))</f>
        <v>-1</v>
      </c>
      <c r="F1086" s="31"/>
    </row>
    <row r="1087" spans="3:6" ht="15.75" x14ac:dyDescent="0.25">
      <c r="C1087" s="29" t="str">
        <f>IF(B1087=0,"EMPTY",Setup!$D$11*((PI()*2*Setup!$B$22*A1087*B1087)/33000))</f>
        <v>EMPTY</v>
      </c>
      <c r="D1087" s="30" t="str">
        <f>IF(Setup!$H$2=0,"EMPTY",IF(B1087=0,"EMPTY",B1087*Setup!$B$22*Setup!$G$6*Setup!$D$11))</f>
        <v>EMPTY</v>
      </c>
      <c r="E1087" s="31">
        <f>IF(Setup!$H$2=0,-1,IF(A1087=0,-1,A1087*1/(Setup!$G$6)))</f>
        <v>-1</v>
      </c>
      <c r="F1087" s="31"/>
    </row>
    <row r="1088" spans="3:6" ht="15.75" x14ac:dyDescent="0.25">
      <c r="C1088" s="29" t="str">
        <f>IF(B1088=0,"EMPTY",Setup!$D$11*((PI()*2*Setup!$B$22*A1088*B1088)/33000))</f>
        <v>EMPTY</v>
      </c>
      <c r="D1088" s="30" t="str">
        <f>IF(Setup!$H$2=0,"EMPTY",IF(B1088=0,"EMPTY",B1088*Setup!$B$22*Setup!$G$6*Setup!$D$11))</f>
        <v>EMPTY</v>
      </c>
      <c r="E1088" s="31">
        <f>IF(Setup!$H$2=0,-1,IF(A1088=0,-1,A1088*1/(Setup!$G$6)))</f>
        <v>-1</v>
      </c>
      <c r="F1088" s="31"/>
    </row>
    <row r="1089" spans="3:6" ht="15.75" x14ac:dyDescent="0.25">
      <c r="C1089" s="29" t="str">
        <f>IF(B1089=0,"EMPTY",Setup!$D$11*((PI()*2*Setup!$B$22*A1089*B1089)/33000))</f>
        <v>EMPTY</v>
      </c>
      <c r="D1089" s="30" t="str">
        <f>IF(Setup!$H$2=0,"EMPTY",IF(B1089=0,"EMPTY",B1089*Setup!$B$22*Setup!$G$6*Setup!$D$11))</f>
        <v>EMPTY</v>
      </c>
      <c r="E1089" s="31">
        <f>IF(Setup!$H$2=0,-1,IF(A1089=0,-1,A1089*1/(Setup!$G$6)))</f>
        <v>-1</v>
      </c>
      <c r="F1089" s="31"/>
    </row>
    <row r="1090" spans="3:6" ht="15.75" x14ac:dyDescent="0.25">
      <c r="C1090" s="29" t="str">
        <f>IF(B1090=0,"EMPTY",Setup!$D$11*((PI()*2*Setup!$B$22*A1090*B1090)/33000))</f>
        <v>EMPTY</v>
      </c>
      <c r="D1090" s="30" t="str">
        <f>IF(Setup!$H$2=0,"EMPTY",IF(B1090=0,"EMPTY",B1090*Setup!$B$22*Setup!$G$6*Setup!$D$11))</f>
        <v>EMPTY</v>
      </c>
      <c r="E1090" s="31">
        <f>IF(Setup!$H$2=0,-1,IF(A1090=0,-1,A1090*1/(Setup!$G$6)))</f>
        <v>-1</v>
      </c>
      <c r="F1090" s="31"/>
    </row>
    <row r="1091" spans="3:6" ht="15.75" x14ac:dyDescent="0.25">
      <c r="C1091" s="29" t="str">
        <f>IF(B1091=0,"EMPTY",Setup!$D$11*((PI()*2*Setup!$B$22*A1091*B1091)/33000))</f>
        <v>EMPTY</v>
      </c>
      <c r="D1091" s="30" t="str">
        <f>IF(Setup!$H$2=0,"EMPTY",IF(B1091=0,"EMPTY",B1091*Setup!$B$22*Setup!$G$6*Setup!$D$11))</f>
        <v>EMPTY</v>
      </c>
      <c r="E1091" s="31">
        <f>IF(Setup!$H$2=0,-1,IF(A1091=0,-1,A1091*1/(Setup!$G$6)))</f>
        <v>-1</v>
      </c>
      <c r="F1091" s="31"/>
    </row>
    <row r="1092" spans="3:6" ht="15.75" x14ac:dyDescent="0.25">
      <c r="C1092" s="29" t="str">
        <f>IF(B1092=0,"EMPTY",Setup!$D$11*((PI()*2*Setup!$B$22*A1092*B1092)/33000))</f>
        <v>EMPTY</v>
      </c>
      <c r="D1092" s="30" t="str">
        <f>IF(Setup!$H$2=0,"EMPTY",IF(B1092=0,"EMPTY",B1092*Setup!$B$22*Setup!$G$6*Setup!$D$11))</f>
        <v>EMPTY</v>
      </c>
      <c r="E1092" s="31">
        <f>IF(Setup!$H$2=0,-1,IF(A1092=0,-1,A1092*1/(Setup!$G$6)))</f>
        <v>-1</v>
      </c>
      <c r="F1092" s="31"/>
    </row>
    <row r="1093" spans="3:6" ht="15.75" x14ac:dyDescent="0.25">
      <c r="C1093" s="29" t="str">
        <f>IF(B1093=0,"EMPTY",Setup!$D$11*((PI()*2*Setup!$B$22*A1093*B1093)/33000))</f>
        <v>EMPTY</v>
      </c>
      <c r="D1093" s="30" t="str">
        <f>IF(Setup!$H$2=0,"EMPTY",IF(B1093=0,"EMPTY",B1093*Setup!$B$22*Setup!$G$6*Setup!$D$11))</f>
        <v>EMPTY</v>
      </c>
      <c r="E1093" s="31">
        <f>IF(Setup!$H$2=0,-1,IF(A1093=0,-1,A1093*1/(Setup!$G$6)))</f>
        <v>-1</v>
      </c>
      <c r="F1093" s="31"/>
    </row>
    <row r="1094" spans="3:6" ht="15.75" x14ac:dyDescent="0.25">
      <c r="C1094" s="29" t="str">
        <f>IF(B1094=0,"EMPTY",Setup!$D$11*((PI()*2*Setup!$B$22*A1094*B1094)/33000))</f>
        <v>EMPTY</v>
      </c>
      <c r="D1094" s="30" t="str">
        <f>IF(Setup!$H$2=0,"EMPTY",IF(B1094=0,"EMPTY",B1094*Setup!$B$22*Setup!$G$6*Setup!$D$11))</f>
        <v>EMPTY</v>
      </c>
      <c r="E1094" s="31">
        <f>IF(Setup!$H$2=0,-1,IF(A1094=0,-1,A1094*1/(Setup!$G$6)))</f>
        <v>-1</v>
      </c>
      <c r="F1094" s="31"/>
    </row>
    <row r="1095" spans="3:6" ht="15.75" x14ac:dyDescent="0.25">
      <c r="C1095" s="29" t="str">
        <f>IF(B1095=0,"EMPTY",Setup!$D$11*((PI()*2*Setup!$B$22*A1095*B1095)/33000))</f>
        <v>EMPTY</v>
      </c>
      <c r="D1095" s="30" t="str">
        <f>IF(Setup!$H$2=0,"EMPTY",IF(B1095=0,"EMPTY",B1095*Setup!$B$22*Setup!$G$6*Setup!$D$11))</f>
        <v>EMPTY</v>
      </c>
      <c r="E1095" s="31">
        <f>IF(Setup!$H$2=0,-1,IF(A1095=0,-1,A1095*1/(Setup!$G$6)))</f>
        <v>-1</v>
      </c>
      <c r="F1095" s="31"/>
    </row>
    <row r="1096" spans="3:6" ht="15.75" x14ac:dyDescent="0.25">
      <c r="C1096" s="29" t="str">
        <f>IF(B1096=0,"EMPTY",Setup!$D$11*((PI()*2*Setup!$B$22*A1096*B1096)/33000))</f>
        <v>EMPTY</v>
      </c>
      <c r="D1096" s="30" t="str">
        <f>IF(Setup!$H$2=0,"EMPTY",IF(B1096=0,"EMPTY",B1096*Setup!$B$22*Setup!$G$6*Setup!$D$11))</f>
        <v>EMPTY</v>
      </c>
      <c r="E1096" s="31">
        <f>IF(Setup!$H$2=0,-1,IF(A1096=0,-1,A1096*1/(Setup!$G$6)))</f>
        <v>-1</v>
      </c>
      <c r="F1096" s="31"/>
    </row>
    <row r="1097" spans="3:6" ht="15.75" x14ac:dyDescent="0.25">
      <c r="C1097" s="29" t="str">
        <f>IF(B1097=0,"EMPTY",Setup!$D$11*((PI()*2*Setup!$B$22*A1097*B1097)/33000))</f>
        <v>EMPTY</v>
      </c>
      <c r="D1097" s="30" t="str">
        <f>IF(Setup!$H$2=0,"EMPTY",IF(B1097=0,"EMPTY",B1097*Setup!$B$22*Setup!$G$6*Setup!$D$11))</f>
        <v>EMPTY</v>
      </c>
      <c r="E1097" s="31">
        <f>IF(Setup!$H$2=0,-1,IF(A1097=0,-1,A1097*1/(Setup!$G$6)))</f>
        <v>-1</v>
      </c>
      <c r="F1097" s="31"/>
    </row>
    <row r="1098" spans="3:6" ht="15.75" x14ac:dyDescent="0.25">
      <c r="C1098" s="29" t="str">
        <f>IF(B1098=0,"EMPTY",Setup!$D$11*((PI()*2*Setup!$B$22*A1098*B1098)/33000))</f>
        <v>EMPTY</v>
      </c>
      <c r="D1098" s="30" t="str">
        <f>IF(Setup!$H$2=0,"EMPTY",IF(B1098=0,"EMPTY",B1098*Setup!$B$22*Setup!$G$6*Setup!$D$11))</f>
        <v>EMPTY</v>
      </c>
      <c r="E1098" s="31">
        <f>IF(Setup!$H$2=0,-1,IF(A1098=0,-1,A1098*1/(Setup!$G$6)))</f>
        <v>-1</v>
      </c>
      <c r="F1098" s="31"/>
    </row>
    <row r="1099" spans="3:6" ht="15.75" x14ac:dyDescent="0.25">
      <c r="C1099" s="29" t="str">
        <f>IF(B1099=0,"EMPTY",Setup!$D$11*((PI()*2*Setup!$B$22*A1099*B1099)/33000))</f>
        <v>EMPTY</v>
      </c>
      <c r="D1099" s="30" t="str">
        <f>IF(Setup!$H$2=0,"EMPTY",IF(B1099=0,"EMPTY",B1099*Setup!$B$22*Setup!$G$6*Setup!$D$11))</f>
        <v>EMPTY</v>
      </c>
      <c r="E1099" s="31">
        <f>IF(Setup!$H$2=0,-1,IF(A1099=0,-1,A1099*1/(Setup!$G$6)))</f>
        <v>-1</v>
      </c>
      <c r="F1099" s="31"/>
    </row>
    <row r="1100" spans="3:6" ht="15.75" x14ac:dyDescent="0.25">
      <c r="C1100" s="29" t="str">
        <f>IF(B1100=0,"EMPTY",Setup!$D$11*((PI()*2*Setup!$B$22*A1100*B1100)/33000))</f>
        <v>EMPTY</v>
      </c>
      <c r="D1100" s="30" t="str">
        <f>IF(Setup!$H$2=0,"EMPTY",IF(B1100=0,"EMPTY",B1100*Setup!$B$22*Setup!$G$6*Setup!$D$11))</f>
        <v>EMPTY</v>
      </c>
      <c r="E1100" s="31">
        <f>IF(Setup!$H$2=0,-1,IF(A1100=0,-1,A1100*1/(Setup!$G$6)))</f>
        <v>-1</v>
      </c>
      <c r="F1100" s="31"/>
    </row>
    <row r="1101" spans="3:6" ht="15.75" x14ac:dyDescent="0.25">
      <c r="C1101" s="29" t="str">
        <f>IF(B1101=0,"EMPTY",Setup!$D$11*((PI()*2*Setup!$B$22*A1101*B1101)/33000))</f>
        <v>EMPTY</v>
      </c>
      <c r="D1101" s="30" t="str">
        <f>IF(Setup!$H$2=0,"EMPTY",IF(B1101=0,"EMPTY",B1101*Setup!$B$22*Setup!$G$6*Setup!$D$11))</f>
        <v>EMPTY</v>
      </c>
      <c r="E1101" s="31">
        <f>IF(Setup!$H$2=0,-1,IF(A1101=0,-1,A1101*1/(Setup!$G$6)))</f>
        <v>-1</v>
      </c>
      <c r="F1101" s="31"/>
    </row>
    <row r="1102" spans="3:6" ht="15.75" x14ac:dyDescent="0.25">
      <c r="C1102" s="29" t="str">
        <f>IF(B1102=0,"EMPTY",Setup!$D$11*((PI()*2*Setup!$B$22*A1102*B1102)/33000))</f>
        <v>EMPTY</v>
      </c>
      <c r="D1102" s="30" t="str">
        <f>IF(Setup!$H$2=0,"EMPTY",IF(B1102=0,"EMPTY",B1102*Setup!$B$22*Setup!$G$6*Setup!$D$11))</f>
        <v>EMPTY</v>
      </c>
      <c r="E1102" s="31">
        <f>IF(Setup!$H$2=0,-1,IF(A1102=0,-1,A1102*1/(Setup!$G$6)))</f>
        <v>-1</v>
      </c>
      <c r="F1102" s="31"/>
    </row>
    <row r="1103" spans="3:6" ht="15.75" x14ac:dyDescent="0.25">
      <c r="C1103" s="29" t="str">
        <f>IF(B1103=0,"EMPTY",Setup!$D$11*((PI()*2*Setup!$B$22*A1103*B1103)/33000))</f>
        <v>EMPTY</v>
      </c>
      <c r="D1103" s="30" t="str">
        <f>IF(Setup!$H$2=0,"EMPTY",IF(B1103=0,"EMPTY",B1103*Setup!$B$22*Setup!$G$6*Setup!$D$11))</f>
        <v>EMPTY</v>
      </c>
      <c r="E1103" s="31">
        <f>IF(Setup!$H$2=0,-1,IF(A1103=0,-1,A1103*1/(Setup!$G$6)))</f>
        <v>-1</v>
      </c>
      <c r="F1103" s="31"/>
    </row>
    <row r="1104" spans="3:6" ht="15.75" x14ac:dyDescent="0.25">
      <c r="C1104" s="29" t="str">
        <f>IF(B1104=0,"EMPTY",Setup!$D$11*((PI()*2*Setup!$B$22*A1104*B1104)/33000))</f>
        <v>EMPTY</v>
      </c>
      <c r="D1104" s="30" t="str">
        <f>IF(Setup!$H$2=0,"EMPTY",IF(B1104=0,"EMPTY",B1104*Setup!$B$22*Setup!$G$6*Setup!$D$11))</f>
        <v>EMPTY</v>
      </c>
      <c r="E1104" s="31">
        <f>IF(Setup!$H$2=0,-1,IF(A1104=0,-1,A1104*1/(Setup!$G$6)))</f>
        <v>-1</v>
      </c>
      <c r="F1104" s="31"/>
    </row>
    <row r="1105" spans="3:6" ht="15.75" x14ac:dyDescent="0.25">
      <c r="C1105" s="29" t="str">
        <f>IF(B1105=0,"EMPTY",Setup!$D$11*((PI()*2*Setup!$B$22*A1105*B1105)/33000))</f>
        <v>EMPTY</v>
      </c>
      <c r="D1105" s="30" t="str">
        <f>IF(Setup!$H$2=0,"EMPTY",IF(B1105=0,"EMPTY",B1105*Setup!$B$22*Setup!$G$6*Setup!$D$11))</f>
        <v>EMPTY</v>
      </c>
      <c r="E1105" s="31">
        <f>IF(Setup!$H$2=0,-1,IF(A1105=0,-1,A1105*1/(Setup!$G$6)))</f>
        <v>-1</v>
      </c>
      <c r="F1105" s="31"/>
    </row>
    <row r="1106" spans="3:6" ht="15.75" x14ac:dyDescent="0.25">
      <c r="C1106" s="29" t="str">
        <f>IF(B1106=0,"EMPTY",Setup!$D$11*((PI()*2*Setup!$B$22*A1106*B1106)/33000))</f>
        <v>EMPTY</v>
      </c>
      <c r="D1106" s="30" t="str">
        <f>IF(Setup!$H$2=0,"EMPTY",IF(B1106=0,"EMPTY",B1106*Setup!$B$22*Setup!$G$6*Setup!$D$11))</f>
        <v>EMPTY</v>
      </c>
      <c r="E1106" s="31">
        <f>IF(Setup!$H$2=0,-1,IF(A1106=0,-1,A1106*1/(Setup!$G$6)))</f>
        <v>-1</v>
      </c>
      <c r="F1106" s="31"/>
    </row>
    <row r="1107" spans="3:6" ht="15.75" x14ac:dyDescent="0.25">
      <c r="C1107" s="29" t="str">
        <f>IF(B1107=0,"EMPTY",Setup!$D$11*((PI()*2*Setup!$B$22*A1107*B1107)/33000))</f>
        <v>EMPTY</v>
      </c>
      <c r="D1107" s="30" t="str">
        <f>IF(Setup!$H$2=0,"EMPTY",IF(B1107=0,"EMPTY",B1107*Setup!$B$22*Setup!$G$6*Setup!$D$11))</f>
        <v>EMPTY</v>
      </c>
      <c r="E1107" s="31">
        <f>IF(Setup!$H$2=0,-1,IF(A1107=0,-1,A1107*1/(Setup!$G$6)))</f>
        <v>-1</v>
      </c>
      <c r="F1107" s="31"/>
    </row>
    <row r="1108" spans="3:6" ht="15.75" x14ac:dyDescent="0.25">
      <c r="C1108" s="29" t="str">
        <f>IF(B1108=0,"EMPTY",Setup!$D$11*((PI()*2*Setup!$B$22*A1108*B1108)/33000))</f>
        <v>EMPTY</v>
      </c>
      <c r="D1108" s="30" t="str">
        <f>IF(Setup!$H$2=0,"EMPTY",IF(B1108=0,"EMPTY",B1108*Setup!$B$22*Setup!$G$6*Setup!$D$11))</f>
        <v>EMPTY</v>
      </c>
      <c r="E1108" s="31">
        <f>IF(Setup!$H$2=0,-1,IF(A1108=0,-1,A1108*1/(Setup!$G$6)))</f>
        <v>-1</v>
      </c>
      <c r="F1108" s="31"/>
    </row>
    <row r="1109" spans="3:6" ht="15.75" x14ac:dyDescent="0.25">
      <c r="C1109" s="29" t="str">
        <f>IF(B1109=0,"EMPTY",Setup!$D$11*((PI()*2*Setup!$B$22*A1109*B1109)/33000))</f>
        <v>EMPTY</v>
      </c>
      <c r="D1109" s="30" t="str">
        <f>IF(Setup!$H$2=0,"EMPTY",IF(B1109=0,"EMPTY",B1109*Setup!$B$22*Setup!$G$6*Setup!$D$11))</f>
        <v>EMPTY</v>
      </c>
      <c r="E1109" s="31">
        <f>IF(Setup!$H$2=0,-1,IF(A1109=0,-1,A1109*1/(Setup!$G$6)))</f>
        <v>-1</v>
      </c>
      <c r="F1109" s="31"/>
    </row>
    <row r="1110" spans="3:6" ht="15.75" x14ac:dyDescent="0.25">
      <c r="C1110" s="29" t="str">
        <f>IF(B1110=0,"EMPTY",Setup!$D$11*((PI()*2*Setup!$B$22*A1110*B1110)/33000))</f>
        <v>EMPTY</v>
      </c>
      <c r="D1110" s="30" t="str">
        <f>IF(Setup!$H$2=0,"EMPTY",IF(B1110=0,"EMPTY",B1110*Setup!$B$22*Setup!$G$6*Setup!$D$11))</f>
        <v>EMPTY</v>
      </c>
      <c r="E1110" s="31">
        <f>IF(Setup!$H$2=0,-1,IF(A1110=0,-1,A1110*1/(Setup!$G$6)))</f>
        <v>-1</v>
      </c>
      <c r="F1110" s="31"/>
    </row>
    <row r="1111" spans="3:6" ht="15.75" x14ac:dyDescent="0.25">
      <c r="C1111" s="29" t="str">
        <f>IF(B1111=0,"EMPTY",Setup!$D$11*((PI()*2*Setup!$B$22*A1111*B1111)/33000))</f>
        <v>EMPTY</v>
      </c>
      <c r="D1111" s="30" t="str">
        <f>IF(Setup!$H$2=0,"EMPTY",IF(B1111=0,"EMPTY",B1111*Setup!$B$22*Setup!$G$6*Setup!$D$11))</f>
        <v>EMPTY</v>
      </c>
      <c r="E1111" s="31">
        <f>IF(Setup!$H$2=0,-1,IF(A1111=0,-1,A1111*1/(Setup!$G$6)))</f>
        <v>-1</v>
      </c>
      <c r="F1111" s="31"/>
    </row>
    <row r="1112" spans="3:6" ht="15.75" x14ac:dyDescent="0.25">
      <c r="C1112" s="29" t="str">
        <f>IF(B1112=0,"EMPTY",Setup!$D$11*((PI()*2*Setup!$B$22*A1112*B1112)/33000))</f>
        <v>EMPTY</v>
      </c>
      <c r="D1112" s="30" t="str">
        <f>IF(Setup!$H$2=0,"EMPTY",IF(B1112=0,"EMPTY",B1112*Setup!$B$22*Setup!$G$6*Setup!$D$11))</f>
        <v>EMPTY</v>
      </c>
      <c r="E1112" s="31">
        <f>IF(Setup!$H$2=0,-1,IF(A1112=0,-1,A1112*1/(Setup!$G$6)))</f>
        <v>-1</v>
      </c>
      <c r="F1112" s="31"/>
    </row>
    <row r="1113" spans="3:6" ht="15.75" x14ac:dyDescent="0.25">
      <c r="C1113" s="29" t="str">
        <f>IF(B1113=0,"EMPTY",Setup!$D$11*((PI()*2*Setup!$B$22*A1113*B1113)/33000))</f>
        <v>EMPTY</v>
      </c>
      <c r="D1113" s="30" t="str">
        <f>IF(Setup!$H$2=0,"EMPTY",IF(B1113=0,"EMPTY",B1113*Setup!$B$22*Setup!$G$6*Setup!$D$11))</f>
        <v>EMPTY</v>
      </c>
      <c r="E1113" s="31">
        <f>IF(Setup!$H$2=0,-1,IF(A1113=0,-1,A1113*1/(Setup!$G$6)))</f>
        <v>-1</v>
      </c>
      <c r="F1113" s="31"/>
    </row>
    <row r="1114" spans="3:6" ht="15.75" x14ac:dyDescent="0.25">
      <c r="C1114" s="29" t="str">
        <f>IF(B1114=0,"EMPTY",Setup!$D$11*((PI()*2*Setup!$B$22*A1114*B1114)/33000))</f>
        <v>EMPTY</v>
      </c>
      <c r="D1114" s="30" t="str">
        <f>IF(Setup!$H$2=0,"EMPTY",IF(B1114=0,"EMPTY",B1114*Setup!$B$22*Setup!$G$6*Setup!$D$11))</f>
        <v>EMPTY</v>
      </c>
      <c r="E1114" s="31">
        <f>IF(Setup!$H$2=0,-1,IF(A1114=0,-1,A1114*1/(Setup!$G$6)))</f>
        <v>-1</v>
      </c>
      <c r="F1114" s="31"/>
    </row>
    <row r="1115" spans="3:6" ht="15.75" x14ac:dyDescent="0.25">
      <c r="C1115" s="29" t="str">
        <f>IF(B1115=0,"EMPTY",Setup!$D$11*((PI()*2*Setup!$B$22*A1115*B1115)/33000))</f>
        <v>EMPTY</v>
      </c>
      <c r="D1115" s="30" t="str">
        <f>IF(Setup!$H$2=0,"EMPTY",IF(B1115=0,"EMPTY",B1115*Setup!$B$22*Setup!$G$6*Setup!$D$11))</f>
        <v>EMPTY</v>
      </c>
      <c r="E1115" s="31">
        <f>IF(Setup!$H$2=0,-1,IF(A1115=0,-1,A1115*1/(Setup!$G$6)))</f>
        <v>-1</v>
      </c>
      <c r="F1115" s="31"/>
    </row>
    <row r="1116" spans="3:6" ht="15.75" x14ac:dyDescent="0.25">
      <c r="C1116" s="29" t="str">
        <f>IF(B1116=0,"EMPTY",Setup!$D$11*((PI()*2*Setup!$B$22*A1116*B1116)/33000))</f>
        <v>EMPTY</v>
      </c>
      <c r="D1116" s="30" t="str">
        <f>IF(Setup!$H$2=0,"EMPTY",IF(B1116=0,"EMPTY",B1116*Setup!$B$22*Setup!$G$6*Setup!$D$11))</f>
        <v>EMPTY</v>
      </c>
      <c r="E1116" s="31">
        <f>IF(Setup!$H$2=0,-1,IF(A1116=0,-1,A1116*1/(Setup!$G$6)))</f>
        <v>-1</v>
      </c>
      <c r="F1116" s="31"/>
    </row>
    <row r="1117" spans="3:6" ht="15.75" x14ac:dyDescent="0.25">
      <c r="C1117" s="29" t="str">
        <f>IF(B1117=0,"EMPTY",Setup!$D$11*((PI()*2*Setup!$B$22*A1117*B1117)/33000))</f>
        <v>EMPTY</v>
      </c>
      <c r="D1117" s="30" t="str">
        <f>IF(Setup!$H$2=0,"EMPTY",IF(B1117=0,"EMPTY",B1117*Setup!$B$22*Setup!$G$6*Setup!$D$11))</f>
        <v>EMPTY</v>
      </c>
      <c r="E1117" s="31">
        <f>IF(Setup!$H$2=0,-1,IF(A1117=0,-1,A1117*1/(Setup!$G$6)))</f>
        <v>-1</v>
      </c>
      <c r="F1117" s="31"/>
    </row>
    <row r="1118" spans="3:6" ht="15.75" x14ac:dyDescent="0.25">
      <c r="C1118" s="29" t="str">
        <f>IF(B1118=0,"EMPTY",Setup!$D$11*((PI()*2*Setup!$B$22*A1118*B1118)/33000))</f>
        <v>EMPTY</v>
      </c>
      <c r="D1118" s="30" t="str">
        <f>IF(Setup!$H$2=0,"EMPTY",IF(B1118=0,"EMPTY",B1118*Setup!$B$22*Setup!$G$6*Setup!$D$11))</f>
        <v>EMPTY</v>
      </c>
      <c r="E1118" s="31">
        <f>IF(Setup!$H$2=0,-1,IF(A1118=0,-1,A1118*1/(Setup!$G$6)))</f>
        <v>-1</v>
      </c>
      <c r="F1118" s="31"/>
    </row>
    <row r="1119" spans="3:6" ht="15.75" x14ac:dyDescent="0.25">
      <c r="C1119" s="29" t="str">
        <f>IF(B1119=0,"EMPTY",Setup!$D$11*((PI()*2*Setup!$B$22*A1119*B1119)/33000))</f>
        <v>EMPTY</v>
      </c>
      <c r="D1119" s="30" t="str">
        <f>IF(Setup!$H$2=0,"EMPTY",IF(B1119=0,"EMPTY",B1119*Setup!$B$22*Setup!$G$6*Setup!$D$11))</f>
        <v>EMPTY</v>
      </c>
      <c r="E1119" s="31">
        <f>IF(Setup!$H$2=0,-1,IF(A1119=0,-1,A1119*1/(Setup!$G$6)))</f>
        <v>-1</v>
      </c>
      <c r="F1119" s="31"/>
    </row>
    <row r="1120" spans="3:6" ht="15.75" x14ac:dyDescent="0.25">
      <c r="C1120" s="29" t="str">
        <f>IF(B1120=0,"EMPTY",Setup!$D$11*((PI()*2*Setup!$B$22*A1120*B1120)/33000))</f>
        <v>EMPTY</v>
      </c>
      <c r="D1120" s="30" t="str">
        <f>IF(Setup!$H$2=0,"EMPTY",IF(B1120=0,"EMPTY",B1120*Setup!$B$22*Setup!$G$6*Setup!$D$11))</f>
        <v>EMPTY</v>
      </c>
      <c r="E1120" s="31">
        <f>IF(Setup!$H$2=0,-1,IF(A1120=0,-1,A1120*1/(Setup!$G$6)))</f>
        <v>-1</v>
      </c>
      <c r="F1120" s="31"/>
    </row>
    <row r="1121" spans="3:6" ht="15.75" x14ac:dyDescent="0.25">
      <c r="C1121" s="29" t="str">
        <f>IF(B1121=0,"EMPTY",Setup!$D$11*((PI()*2*Setup!$B$22*A1121*B1121)/33000))</f>
        <v>EMPTY</v>
      </c>
      <c r="D1121" s="30" t="str">
        <f>IF(Setup!$H$2=0,"EMPTY",IF(B1121=0,"EMPTY",B1121*Setup!$B$22*Setup!$G$6*Setup!$D$11))</f>
        <v>EMPTY</v>
      </c>
      <c r="E1121" s="31">
        <f>IF(Setup!$H$2=0,-1,IF(A1121=0,-1,A1121*1/(Setup!$G$6)))</f>
        <v>-1</v>
      </c>
      <c r="F1121" s="31"/>
    </row>
    <row r="1122" spans="3:6" ht="15.75" x14ac:dyDescent="0.25">
      <c r="C1122" s="29" t="str">
        <f>IF(B1122=0,"EMPTY",Setup!$D$11*((PI()*2*Setup!$B$22*A1122*B1122)/33000))</f>
        <v>EMPTY</v>
      </c>
      <c r="D1122" s="30" t="str">
        <f>IF(Setup!$H$2=0,"EMPTY",IF(B1122=0,"EMPTY",B1122*Setup!$B$22*Setup!$G$6*Setup!$D$11))</f>
        <v>EMPTY</v>
      </c>
      <c r="E1122" s="31">
        <f>IF(Setup!$H$2=0,-1,IF(A1122=0,-1,A1122*1/(Setup!$G$6)))</f>
        <v>-1</v>
      </c>
      <c r="F1122" s="31"/>
    </row>
    <row r="1123" spans="3:6" ht="15.75" x14ac:dyDescent="0.25">
      <c r="C1123" s="29" t="str">
        <f>IF(B1123=0,"EMPTY",Setup!$D$11*((PI()*2*Setup!$B$22*A1123*B1123)/33000))</f>
        <v>EMPTY</v>
      </c>
      <c r="D1123" s="30" t="str">
        <f>IF(Setup!$H$2=0,"EMPTY",IF(B1123=0,"EMPTY",B1123*Setup!$B$22*Setup!$G$6*Setup!$D$11))</f>
        <v>EMPTY</v>
      </c>
      <c r="E1123" s="31">
        <f>IF(Setup!$H$2=0,-1,IF(A1123=0,-1,A1123*1/(Setup!$G$6)))</f>
        <v>-1</v>
      </c>
      <c r="F1123" s="31"/>
    </row>
    <row r="1124" spans="3:6" ht="15.75" x14ac:dyDescent="0.25">
      <c r="C1124" s="29" t="str">
        <f>IF(B1124=0,"EMPTY",Setup!$D$11*((PI()*2*Setup!$B$22*A1124*B1124)/33000))</f>
        <v>EMPTY</v>
      </c>
      <c r="D1124" s="30" t="str">
        <f>IF(Setup!$H$2=0,"EMPTY",IF(B1124=0,"EMPTY",B1124*Setup!$B$22*Setup!$G$6*Setup!$D$11))</f>
        <v>EMPTY</v>
      </c>
      <c r="E1124" s="31">
        <f>IF(Setup!$H$2=0,-1,IF(A1124=0,-1,A1124*1/(Setup!$G$6)))</f>
        <v>-1</v>
      </c>
      <c r="F1124" s="31"/>
    </row>
    <row r="1125" spans="3:6" ht="15.75" x14ac:dyDescent="0.25">
      <c r="C1125" s="29" t="str">
        <f>IF(B1125=0,"EMPTY",Setup!$D$11*((PI()*2*Setup!$B$22*A1125*B1125)/33000))</f>
        <v>EMPTY</v>
      </c>
      <c r="D1125" s="30" t="str">
        <f>IF(Setup!$H$2=0,"EMPTY",IF(B1125=0,"EMPTY",B1125*Setup!$B$22*Setup!$G$6*Setup!$D$11))</f>
        <v>EMPTY</v>
      </c>
      <c r="E1125" s="31">
        <f>IF(Setup!$H$2=0,-1,IF(A1125=0,-1,A1125*1/(Setup!$G$6)))</f>
        <v>-1</v>
      </c>
      <c r="F1125" s="31"/>
    </row>
    <row r="1126" spans="3:6" ht="15.75" x14ac:dyDescent="0.25">
      <c r="C1126" s="29" t="str">
        <f>IF(B1126=0,"EMPTY",Setup!$D$11*((PI()*2*Setup!$B$22*A1126*B1126)/33000))</f>
        <v>EMPTY</v>
      </c>
      <c r="D1126" s="30" t="str">
        <f>IF(Setup!$H$2=0,"EMPTY",IF(B1126=0,"EMPTY",B1126*Setup!$B$22*Setup!$G$6*Setup!$D$11))</f>
        <v>EMPTY</v>
      </c>
      <c r="E1126" s="31">
        <f>IF(Setup!$H$2=0,-1,IF(A1126=0,-1,A1126*1/(Setup!$G$6)))</f>
        <v>-1</v>
      </c>
      <c r="F1126" s="31"/>
    </row>
    <row r="1127" spans="3:6" ht="15.75" x14ac:dyDescent="0.25">
      <c r="C1127" s="29" t="str">
        <f>IF(B1127=0,"EMPTY",Setup!$D$11*((PI()*2*Setup!$B$22*A1127*B1127)/33000))</f>
        <v>EMPTY</v>
      </c>
      <c r="D1127" s="30" t="str">
        <f>IF(Setup!$H$2=0,"EMPTY",IF(B1127=0,"EMPTY",B1127*Setup!$B$22*Setup!$G$6*Setup!$D$11))</f>
        <v>EMPTY</v>
      </c>
      <c r="E1127" s="31">
        <f>IF(Setup!$H$2=0,-1,IF(A1127=0,-1,A1127*1/(Setup!$G$6)))</f>
        <v>-1</v>
      </c>
      <c r="F1127" s="31"/>
    </row>
    <row r="1128" spans="3:6" ht="15.75" x14ac:dyDescent="0.25">
      <c r="C1128" s="29" t="str">
        <f>IF(B1128=0,"EMPTY",Setup!$D$11*((PI()*2*Setup!$B$22*A1128*B1128)/33000))</f>
        <v>EMPTY</v>
      </c>
      <c r="D1128" s="30" t="str">
        <f>IF(Setup!$H$2=0,"EMPTY",IF(B1128=0,"EMPTY",B1128*Setup!$B$22*Setup!$G$6*Setup!$D$11))</f>
        <v>EMPTY</v>
      </c>
      <c r="E1128" s="31">
        <f>IF(Setup!$H$2=0,-1,IF(A1128=0,-1,A1128*1/(Setup!$G$6)))</f>
        <v>-1</v>
      </c>
      <c r="F1128" s="31"/>
    </row>
    <row r="1129" spans="3:6" ht="15.75" x14ac:dyDescent="0.25">
      <c r="C1129" s="29" t="str">
        <f>IF(B1129=0,"EMPTY",Setup!$D$11*((PI()*2*Setup!$B$22*A1129*B1129)/33000))</f>
        <v>EMPTY</v>
      </c>
      <c r="D1129" s="30" t="str">
        <f>IF(Setup!$H$2=0,"EMPTY",IF(B1129=0,"EMPTY",B1129*Setup!$B$22*Setup!$G$6*Setup!$D$11))</f>
        <v>EMPTY</v>
      </c>
      <c r="E1129" s="31">
        <f>IF(Setup!$H$2=0,-1,IF(A1129=0,-1,A1129*1/(Setup!$G$6)))</f>
        <v>-1</v>
      </c>
      <c r="F1129" s="31"/>
    </row>
    <row r="1130" spans="3:6" ht="15.75" x14ac:dyDescent="0.25">
      <c r="C1130" s="29" t="str">
        <f>IF(B1130=0,"EMPTY",Setup!$D$11*((PI()*2*Setup!$B$22*A1130*B1130)/33000))</f>
        <v>EMPTY</v>
      </c>
      <c r="D1130" s="30" t="str">
        <f>IF(Setup!$H$2=0,"EMPTY",IF(B1130=0,"EMPTY",B1130*Setup!$B$22*Setup!$G$6*Setup!$D$11))</f>
        <v>EMPTY</v>
      </c>
      <c r="E1130" s="31">
        <f>IF(Setup!$H$2=0,-1,IF(A1130=0,-1,A1130*1/(Setup!$G$6)))</f>
        <v>-1</v>
      </c>
      <c r="F1130" s="31"/>
    </row>
    <row r="1131" spans="3:6" ht="15.75" x14ac:dyDescent="0.25">
      <c r="C1131" s="29" t="str">
        <f>IF(B1131=0,"EMPTY",Setup!$D$11*((PI()*2*Setup!$B$22*A1131*B1131)/33000))</f>
        <v>EMPTY</v>
      </c>
      <c r="D1131" s="30" t="str">
        <f>IF(Setup!$H$2=0,"EMPTY",IF(B1131=0,"EMPTY",B1131*Setup!$B$22*Setup!$G$6*Setup!$D$11))</f>
        <v>EMPTY</v>
      </c>
      <c r="E1131" s="31">
        <f>IF(Setup!$H$2=0,-1,IF(A1131=0,-1,A1131*1/(Setup!$G$6)))</f>
        <v>-1</v>
      </c>
      <c r="F1131" s="31"/>
    </row>
    <row r="1132" spans="3:6" ht="15.75" x14ac:dyDescent="0.25">
      <c r="C1132" s="29" t="str">
        <f>IF(B1132=0,"EMPTY",Setup!$D$11*((PI()*2*Setup!$B$22*A1132*B1132)/33000))</f>
        <v>EMPTY</v>
      </c>
      <c r="D1132" s="30" t="str">
        <f>IF(Setup!$H$2=0,"EMPTY",IF(B1132=0,"EMPTY",B1132*Setup!$B$22*Setup!$G$6*Setup!$D$11))</f>
        <v>EMPTY</v>
      </c>
      <c r="E1132" s="31">
        <f>IF(Setup!$H$2=0,-1,IF(A1132=0,-1,A1132*1/(Setup!$G$6)))</f>
        <v>-1</v>
      </c>
      <c r="F1132" s="31"/>
    </row>
    <row r="1133" spans="3:6" ht="15.75" x14ac:dyDescent="0.25">
      <c r="C1133" s="29" t="str">
        <f>IF(B1133=0,"EMPTY",Setup!$D$11*((PI()*2*Setup!$B$22*A1133*B1133)/33000))</f>
        <v>EMPTY</v>
      </c>
      <c r="D1133" s="30" t="str">
        <f>IF(Setup!$H$2=0,"EMPTY",IF(B1133=0,"EMPTY",B1133*Setup!$B$22*Setup!$G$6*Setup!$D$11))</f>
        <v>EMPTY</v>
      </c>
      <c r="E1133" s="31">
        <f>IF(Setup!$H$2=0,-1,IF(A1133=0,-1,A1133*1/(Setup!$G$6)))</f>
        <v>-1</v>
      </c>
      <c r="F1133" s="31"/>
    </row>
    <row r="1134" spans="3:6" ht="15.75" x14ac:dyDescent="0.25">
      <c r="C1134" s="29" t="str">
        <f>IF(B1134=0,"EMPTY",Setup!$D$11*((PI()*2*Setup!$B$22*A1134*B1134)/33000))</f>
        <v>EMPTY</v>
      </c>
      <c r="D1134" s="30" t="str">
        <f>IF(Setup!$H$2=0,"EMPTY",IF(B1134=0,"EMPTY",B1134*Setup!$B$22*Setup!$G$6*Setup!$D$11))</f>
        <v>EMPTY</v>
      </c>
      <c r="E1134" s="31">
        <f>IF(Setup!$H$2=0,-1,IF(A1134=0,-1,A1134*1/(Setup!$G$6)))</f>
        <v>-1</v>
      </c>
      <c r="F1134" s="31"/>
    </row>
    <row r="1135" spans="3:6" ht="15.75" x14ac:dyDescent="0.25">
      <c r="C1135" s="29" t="str">
        <f>IF(B1135=0,"EMPTY",Setup!$D$11*((PI()*2*Setup!$B$22*A1135*B1135)/33000))</f>
        <v>EMPTY</v>
      </c>
      <c r="D1135" s="30" t="str">
        <f>IF(Setup!$H$2=0,"EMPTY",IF(B1135=0,"EMPTY",B1135*Setup!$B$22*Setup!$G$6*Setup!$D$11))</f>
        <v>EMPTY</v>
      </c>
      <c r="E1135" s="31">
        <f>IF(Setup!$H$2=0,-1,IF(A1135=0,-1,A1135*1/(Setup!$G$6)))</f>
        <v>-1</v>
      </c>
      <c r="F1135" s="31"/>
    </row>
    <row r="1136" spans="3:6" ht="15.75" x14ac:dyDescent="0.25">
      <c r="C1136" s="29" t="str">
        <f>IF(B1136=0,"EMPTY",Setup!$D$11*((PI()*2*Setup!$B$22*A1136*B1136)/33000))</f>
        <v>EMPTY</v>
      </c>
      <c r="D1136" s="30" t="str">
        <f>IF(Setup!$H$2=0,"EMPTY",IF(B1136=0,"EMPTY",B1136*Setup!$B$22*Setup!$G$6*Setup!$D$11))</f>
        <v>EMPTY</v>
      </c>
      <c r="E1136" s="31">
        <f>IF(Setup!$H$2=0,-1,IF(A1136=0,-1,A1136*1/(Setup!$G$6)))</f>
        <v>-1</v>
      </c>
      <c r="F1136" s="31"/>
    </row>
    <row r="1137" spans="3:6" ht="15.75" x14ac:dyDescent="0.25">
      <c r="C1137" s="29" t="str">
        <f>IF(B1137=0,"EMPTY",Setup!$D$11*((PI()*2*Setup!$B$22*A1137*B1137)/33000))</f>
        <v>EMPTY</v>
      </c>
      <c r="D1137" s="30" t="str">
        <f>IF(Setup!$H$2=0,"EMPTY",IF(B1137=0,"EMPTY",B1137*Setup!$B$22*Setup!$G$6*Setup!$D$11))</f>
        <v>EMPTY</v>
      </c>
      <c r="E1137" s="31">
        <f>IF(Setup!$H$2=0,-1,IF(A1137=0,-1,A1137*1/(Setup!$G$6)))</f>
        <v>-1</v>
      </c>
      <c r="F1137" s="31"/>
    </row>
    <row r="1138" spans="3:6" ht="15.75" x14ac:dyDescent="0.25">
      <c r="C1138" s="29" t="str">
        <f>IF(B1138=0,"EMPTY",Setup!$D$11*((PI()*2*Setup!$B$22*A1138*B1138)/33000))</f>
        <v>EMPTY</v>
      </c>
      <c r="D1138" s="30" t="str">
        <f>IF(Setup!$H$2=0,"EMPTY",IF(B1138=0,"EMPTY",B1138*Setup!$B$22*Setup!$G$6*Setup!$D$11))</f>
        <v>EMPTY</v>
      </c>
      <c r="E1138" s="31">
        <f>IF(Setup!$H$2=0,-1,IF(A1138=0,-1,A1138*1/(Setup!$G$6)))</f>
        <v>-1</v>
      </c>
      <c r="F1138" s="31"/>
    </row>
    <row r="1139" spans="3:6" ht="15.75" x14ac:dyDescent="0.25">
      <c r="C1139" s="29" t="str">
        <f>IF(B1139=0,"EMPTY",Setup!$D$11*((PI()*2*Setup!$B$22*A1139*B1139)/33000))</f>
        <v>EMPTY</v>
      </c>
      <c r="D1139" s="30" t="str">
        <f>IF(Setup!$H$2=0,"EMPTY",IF(B1139=0,"EMPTY",B1139*Setup!$B$22*Setup!$G$6*Setup!$D$11))</f>
        <v>EMPTY</v>
      </c>
      <c r="E1139" s="31">
        <f>IF(Setup!$H$2=0,-1,IF(A1139=0,-1,A1139*1/(Setup!$G$6)))</f>
        <v>-1</v>
      </c>
      <c r="F1139" s="31"/>
    </row>
    <row r="1140" spans="3:6" ht="15.75" x14ac:dyDescent="0.25">
      <c r="C1140" s="29" t="str">
        <f>IF(B1140=0,"EMPTY",Setup!$D$11*((PI()*2*Setup!$B$22*A1140*B1140)/33000))</f>
        <v>EMPTY</v>
      </c>
      <c r="D1140" s="30" t="str">
        <f>IF(Setup!$H$2=0,"EMPTY",IF(B1140=0,"EMPTY",B1140*Setup!$B$22*Setup!$G$6*Setup!$D$11))</f>
        <v>EMPTY</v>
      </c>
      <c r="E1140" s="31">
        <f>IF(Setup!$H$2=0,-1,IF(A1140=0,-1,A1140*1/(Setup!$G$6)))</f>
        <v>-1</v>
      </c>
      <c r="F1140" s="31"/>
    </row>
    <row r="1141" spans="3:6" ht="15.75" x14ac:dyDescent="0.25">
      <c r="C1141" s="29" t="str">
        <f>IF(B1141=0,"EMPTY",Setup!$D$11*((PI()*2*Setup!$B$22*A1141*B1141)/33000))</f>
        <v>EMPTY</v>
      </c>
      <c r="D1141" s="30" t="str">
        <f>IF(Setup!$H$2=0,"EMPTY",IF(B1141=0,"EMPTY",B1141*Setup!$B$22*Setup!$G$6*Setup!$D$11))</f>
        <v>EMPTY</v>
      </c>
      <c r="E1141" s="31">
        <f>IF(Setup!$H$2=0,-1,IF(A1141=0,-1,A1141*1/(Setup!$G$6)))</f>
        <v>-1</v>
      </c>
      <c r="F1141" s="31"/>
    </row>
    <row r="1142" spans="3:6" ht="15.75" x14ac:dyDescent="0.25">
      <c r="C1142" s="29" t="str">
        <f>IF(B1142=0,"EMPTY",Setup!$D$11*((PI()*2*Setup!$B$22*A1142*B1142)/33000))</f>
        <v>EMPTY</v>
      </c>
      <c r="D1142" s="30" t="str">
        <f>IF(Setup!$H$2=0,"EMPTY",IF(B1142=0,"EMPTY",B1142*Setup!$B$22*Setup!$G$6*Setup!$D$11))</f>
        <v>EMPTY</v>
      </c>
      <c r="E1142" s="31">
        <f>IF(Setup!$H$2=0,-1,IF(A1142=0,-1,A1142*1/(Setup!$G$6)))</f>
        <v>-1</v>
      </c>
      <c r="F1142" s="31"/>
    </row>
    <row r="1143" spans="3:6" ht="15.75" x14ac:dyDescent="0.25">
      <c r="C1143" s="29" t="str">
        <f>IF(B1143=0,"EMPTY",Setup!$D$11*((PI()*2*Setup!$B$22*A1143*B1143)/33000))</f>
        <v>EMPTY</v>
      </c>
      <c r="D1143" s="30" t="str">
        <f>IF(Setup!$H$2=0,"EMPTY",IF(B1143=0,"EMPTY",B1143*Setup!$B$22*Setup!$G$6*Setup!$D$11))</f>
        <v>EMPTY</v>
      </c>
      <c r="E1143" s="31">
        <f>IF(Setup!$H$2=0,-1,IF(A1143=0,-1,A1143*1/(Setup!$G$6)))</f>
        <v>-1</v>
      </c>
      <c r="F1143" s="31"/>
    </row>
    <row r="1144" spans="3:6" ht="15.75" x14ac:dyDescent="0.25">
      <c r="C1144" s="29" t="str">
        <f>IF(B1144=0,"EMPTY",Setup!$D$11*((PI()*2*Setup!$B$22*A1144*B1144)/33000))</f>
        <v>EMPTY</v>
      </c>
      <c r="D1144" s="30" t="str">
        <f>IF(Setup!$H$2=0,"EMPTY",IF(B1144=0,"EMPTY",B1144*Setup!$B$22*Setup!$G$6*Setup!$D$11))</f>
        <v>EMPTY</v>
      </c>
      <c r="E1144" s="31">
        <f>IF(Setup!$H$2=0,-1,IF(A1144=0,-1,A1144*1/(Setup!$G$6)))</f>
        <v>-1</v>
      </c>
      <c r="F1144" s="31"/>
    </row>
    <row r="1145" spans="3:6" ht="15.75" x14ac:dyDescent="0.25">
      <c r="C1145" s="29" t="str">
        <f>IF(B1145=0,"EMPTY",Setup!$D$11*((PI()*2*Setup!$B$22*A1145*B1145)/33000))</f>
        <v>EMPTY</v>
      </c>
      <c r="D1145" s="30" t="str">
        <f>IF(Setup!$H$2=0,"EMPTY",IF(B1145=0,"EMPTY",B1145*Setup!$B$22*Setup!$G$6*Setup!$D$11))</f>
        <v>EMPTY</v>
      </c>
      <c r="E1145" s="31">
        <f>IF(Setup!$H$2=0,-1,IF(A1145=0,-1,A1145*1/(Setup!$G$6)))</f>
        <v>-1</v>
      </c>
      <c r="F1145" s="31"/>
    </row>
    <row r="1146" spans="3:6" ht="15.75" x14ac:dyDescent="0.25">
      <c r="C1146" s="29" t="str">
        <f>IF(B1146=0,"EMPTY",Setup!$D$11*((PI()*2*Setup!$B$22*A1146*B1146)/33000))</f>
        <v>EMPTY</v>
      </c>
      <c r="D1146" s="30" t="str">
        <f>IF(Setup!$H$2=0,"EMPTY",IF(B1146=0,"EMPTY",B1146*Setup!$B$22*Setup!$G$6*Setup!$D$11))</f>
        <v>EMPTY</v>
      </c>
      <c r="E1146" s="31">
        <f>IF(Setup!$H$2=0,-1,IF(A1146=0,-1,A1146*1/(Setup!$G$6)))</f>
        <v>-1</v>
      </c>
      <c r="F1146" s="31"/>
    </row>
    <row r="1147" spans="3:6" ht="15.75" x14ac:dyDescent="0.25">
      <c r="C1147" s="29" t="str">
        <f>IF(B1147=0,"EMPTY",Setup!$D$11*((PI()*2*Setup!$B$22*A1147*B1147)/33000))</f>
        <v>EMPTY</v>
      </c>
      <c r="D1147" s="30" t="str">
        <f>IF(Setup!$H$2=0,"EMPTY",IF(B1147=0,"EMPTY",B1147*Setup!$B$22*Setup!$G$6*Setup!$D$11))</f>
        <v>EMPTY</v>
      </c>
      <c r="E1147" s="31">
        <f>IF(Setup!$H$2=0,-1,IF(A1147=0,-1,A1147*1/(Setup!$G$6)))</f>
        <v>-1</v>
      </c>
      <c r="F1147" s="31"/>
    </row>
    <row r="1148" spans="3:6" ht="15.75" x14ac:dyDescent="0.25">
      <c r="C1148" s="29" t="str">
        <f>IF(B1148=0,"EMPTY",Setup!$D$11*((PI()*2*Setup!$B$22*A1148*B1148)/33000))</f>
        <v>EMPTY</v>
      </c>
      <c r="D1148" s="30" t="str">
        <f>IF(Setup!$H$2=0,"EMPTY",IF(B1148=0,"EMPTY",B1148*Setup!$B$22*Setup!$G$6*Setup!$D$11))</f>
        <v>EMPTY</v>
      </c>
      <c r="E1148" s="31">
        <f>IF(Setup!$H$2=0,-1,IF(A1148=0,-1,A1148*1/(Setup!$G$6)))</f>
        <v>-1</v>
      </c>
      <c r="F1148" s="31"/>
    </row>
    <row r="1149" spans="3:6" ht="15.75" x14ac:dyDescent="0.25">
      <c r="C1149" s="29" t="str">
        <f>IF(B1149=0,"EMPTY",Setup!$D$11*((PI()*2*Setup!$B$22*A1149*B1149)/33000))</f>
        <v>EMPTY</v>
      </c>
      <c r="D1149" s="30" t="str">
        <f>IF(Setup!$H$2=0,"EMPTY",IF(B1149=0,"EMPTY",B1149*Setup!$B$22*Setup!$G$6*Setup!$D$11))</f>
        <v>EMPTY</v>
      </c>
      <c r="E1149" s="31">
        <f>IF(Setup!$H$2=0,-1,IF(A1149=0,-1,A1149*1/(Setup!$G$6)))</f>
        <v>-1</v>
      </c>
      <c r="F1149" s="31"/>
    </row>
    <row r="1150" spans="3:6" ht="15.75" x14ac:dyDescent="0.25">
      <c r="C1150" s="29" t="str">
        <f>IF(B1150=0,"EMPTY",Setup!$D$11*((PI()*2*Setup!$B$22*A1150*B1150)/33000))</f>
        <v>EMPTY</v>
      </c>
      <c r="D1150" s="30" t="str">
        <f>IF(Setup!$H$2=0,"EMPTY",IF(B1150=0,"EMPTY",B1150*Setup!$B$22*Setup!$G$6*Setup!$D$11))</f>
        <v>EMPTY</v>
      </c>
      <c r="E1150" s="31">
        <f>IF(Setup!$H$2=0,-1,IF(A1150=0,-1,A1150*1/(Setup!$G$6)))</f>
        <v>-1</v>
      </c>
      <c r="F1150" s="31"/>
    </row>
    <row r="1151" spans="3:6" ht="15.75" x14ac:dyDescent="0.25">
      <c r="C1151" s="29" t="str">
        <f>IF(B1151=0,"EMPTY",Setup!$D$11*((PI()*2*Setup!$B$22*A1151*B1151)/33000))</f>
        <v>EMPTY</v>
      </c>
      <c r="D1151" s="30" t="str">
        <f>IF(Setup!$H$2=0,"EMPTY",IF(B1151=0,"EMPTY",B1151*Setup!$B$22*Setup!$G$6*Setup!$D$11))</f>
        <v>EMPTY</v>
      </c>
      <c r="E1151" s="31">
        <f>IF(Setup!$H$2=0,-1,IF(A1151=0,-1,A1151*1/(Setup!$G$6)))</f>
        <v>-1</v>
      </c>
      <c r="F1151" s="31"/>
    </row>
    <row r="1152" spans="3:6" ht="15.75" x14ac:dyDescent="0.25">
      <c r="C1152" s="29" t="str">
        <f>IF(B1152=0,"EMPTY",Setup!$D$11*((PI()*2*Setup!$B$22*A1152*B1152)/33000))</f>
        <v>EMPTY</v>
      </c>
      <c r="D1152" s="30" t="str">
        <f>IF(Setup!$H$2=0,"EMPTY",IF(B1152=0,"EMPTY",B1152*Setup!$B$22*Setup!$G$6*Setup!$D$11))</f>
        <v>EMPTY</v>
      </c>
      <c r="E1152" s="31">
        <f>IF(Setup!$H$2=0,-1,IF(A1152=0,-1,A1152*1/(Setup!$G$6)))</f>
        <v>-1</v>
      </c>
      <c r="F1152" s="31"/>
    </row>
    <row r="1153" spans="3:6" ht="15.75" x14ac:dyDescent="0.25">
      <c r="C1153" s="29" t="str">
        <f>IF(B1153=0,"EMPTY",Setup!$D$11*((PI()*2*Setup!$B$22*A1153*B1153)/33000))</f>
        <v>EMPTY</v>
      </c>
      <c r="D1153" s="30" t="str">
        <f>IF(Setup!$H$2=0,"EMPTY",IF(B1153=0,"EMPTY",B1153*Setup!$B$22*Setup!$G$6*Setup!$D$11))</f>
        <v>EMPTY</v>
      </c>
      <c r="E1153" s="31">
        <f>IF(Setup!$H$2=0,-1,IF(A1153=0,-1,A1153*1/(Setup!$G$6)))</f>
        <v>-1</v>
      </c>
      <c r="F1153" s="31"/>
    </row>
    <row r="1154" spans="3:6" ht="15.75" x14ac:dyDescent="0.25">
      <c r="C1154" s="29" t="str">
        <f>IF(B1154=0,"EMPTY",Setup!$D$11*((PI()*2*Setup!$B$22*A1154*B1154)/33000))</f>
        <v>EMPTY</v>
      </c>
      <c r="D1154" s="30" t="str">
        <f>IF(Setup!$H$2=0,"EMPTY",IF(B1154=0,"EMPTY",B1154*Setup!$B$22*Setup!$G$6*Setup!$D$11))</f>
        <v>EMPTY</v>
      </c>
      <c r="E1154" s="31">
        <f>IF(Setup!$H$2=0,-1,IF(A1154=0,-1,A1154*1/(Setup!$G$6)))</f>
        <v>-1</v>
      </c>
      <c r="F1154" s="31"/>
    </row>
    <row r="1155" spans="3:6" ht="15.75" x14ac:dyDescent="0.25">
      <c r="C1155" s="29" t="str">
        <f>IF(B1155=0,"EMPTY",Setup!$D$11*((PI()*2*Setup!$B$22*A1155*B1155)/33000))</f>
        <v>EMPTY</v>
      </c>
      <c r="D1155" s="30" t="str">
        <f>IF(Setup!$H$2=0,"EMPTY",IF(B1155=0,"EMPTY",B1155*Setup!$B$22*Setup!$G$6*Setup!$D$11))</f>
        <v>EMPTY</v>
      </c>
      <c r="E1155" s="31">
        <f>IF(Setup!$H$2=0,-1,IF(A1155=0,-1,A1155*1/(Setup!$G$6)))</f>
        <v>-1</v>
      </c>
      <c r="F1155" s="31"/>
    </row>
    <row r="1156" spans="3:6" ht="15.75" x14ac:dyDescent="0.25">
      <c r="C1156" s="29" t="str">
        <f>IF(B1156=0,"EMPTY",Setup!$D$11*((PI()*2*Setup!$B$22*A1156*B1156)/33000))</f>
        <v>EMPTY</v>
      </c>
      <c r="D1156" s="30" t="str">
        <f>IF(Setup!$H$2=0,"EMPTY",IF(B1156=0,"EMPTY",B1156*Setup!$B$22*Setup!$G$6*Setup!$D$11))</f>
        <v>EMPTY</v>
      </c>
      <c r="E1156" s="31">
        <f>IF(Setup!$H$2=0,-1,IF(A1156=0,-1,A1156*1/(Setup!$G$6)))</f>
        <v>-1</v>
      </c>
      <c r="F1156" s="31"/>
    </row>
    <row r="1157" spans="3:6" ht="15.75" x14ac:dyDescent="0.25">
      <c r="C1157" s="29" t="str">
        <f>IF(B1157=0,"EMPTY",Setup!$D$11*((PI()*2*Setup!$B$22*A1157*B1157)/33000))</f>
        <v>EMPTY</v>
      </c>
      <c r="D1157" s="30" t="str">
        <f>IF(Setup!$H$2=0,"EMPTY",IF(B1157=0,"EMPTY",B1157*Setup!$B$22*Setup!$G$6*Setup!$D$11))</f>
        <v>EMPTY</v>
      </c>
      <c r="E1157" s="31">
        <f>IF(Setup!$H$2=0,-1,IF(A1157=0,-1,A1157*1/(Setup!$G$6)))</f>
        <v>-1</v>
      </c>
      <c r="F1157" s="31"/>
    </row>
    <row r="1158" spans="3:6" ht="15.75" x14ac:dyDescent="0.25">
      <c r="C1158" s="29" t="str">
        <f>IF(B1158=0,"EMPTY",Setup!$D$11*((PI()*2*Setup!$B$22*A1158*B1158)/33000))</f>
        <v>EMPTY</v>
      </c>
      <c r="D1158" s="30" t="str">
        <f>IF(Setup!$H$2=0,"EMPTY",IF(B1158=0,"EMPTY",B1158*Setup!$B$22*Setup!$G$6*Setup!$D$11))</f>
        <v>EMPTY</v>
      </c>
      <c r="E1158" s="31">
        <f>IF(Setup!$H$2=0,-1,IF(A1158=0,-1,A1158*1/(Setup!$G$6)))</f>
        <v>-1</v>
      </c>
      <c r="F1158" s="31"/>
    </row>
    <row r="1159" spans="3:6" ht="15.75" x14ac:dyDescent="0.25">
      <c r="C1159" s="29" t="str">
        <f>IF(B1159=0,"EMPTY",Setup!$D$11*((PI()*2*Setup!$B$22*A1159*B1159)/33000))</f>
        <v>EMPTY</v>
      </c>
      <c r="D1159" s="30" t="str">
        <f>IF(Setup!$H$2=0,"EMPTY",IF(B1159=0,"EMPTY",B1159*Setup!$B$22*Setup!$G$6*Setup!$D$11))</f>
        <v>EMPTY</v>
      </c>
      <c r="E1159" s="31">
        <f>IF(Setup!$H$2=0,-1,IF(A1159=0,-1,A1159*1/(Setup!$G$6)))</f>
        <v>-1</v>
      </c>
      <c r="F1159" s="31"/>
    </row>
    <row r="1160" spans="3:6" ht="15.75" x14ac:dyDescent="0.25">
      <c r="C1160" s="29" t="str">
        <f>IF(B1160=0,"EMPTY",Setup!$D$11*((PI()*2*Setup!$B$22*A1160*B1160)/33000))</f>
        <v>EMPTY</v>
      </c>
      <c r="D1160" s="30" t="str">
        <f>IF(Setup!$H$2=0,"EMPTY",IF(B1160=0,"EMPTY",B1160*Setup!$B$22*Setup!$G$6*Setup!$D$11))</f>
        <v>EMPTY</v>
      </c>
      <c r="E1160" s="31">
        <f>IF(Setup!$H$2=0,-1,IF(A1160=0,-1,A1160*1/(Setup!$G$6)))</f>
        <v>-1</v>
      </c>
      <c r="F1160" s="31"/>
    </row>
    <row r="1161" spans="3:6" ht="15.75" x14ac:dyDescent="0.25">
      <c r="C1161" s="29" t="str">
        <f>IF(B1161=0,"EMPTY",Setup!$D$11*((PI()*2*Setup!$B$22*A1161*B1161)/33000))</f>
        <v>EMPTY</v>
      </c>
      <c r="D1161" s="30" t="str">
        <f>IF(Setup!$H$2=0,"EMPTY",IF(B1161=0,"EMPTY",B1161*Setup!$B$22*Setup!$G$6*Setup!$D$11))</f>
        <v>EMPTY</v>
      </c>
      <c r="E1161" s="31">
        <f>IF(Setup!$H$2=0,-1,IF(A1161=0,-1,A1161*1/(Setup!$G$6)))</f>
        <v>-1</v>
      </c>
      <c r="F1161" s="31"/>
    </row>
    <row r="1162" spans="3:6" ht="15.75" x14ac:dyDescent="0.25">
      <c r="C1162" s="29" t="str">
        <f>IF(B1162=0,"EMPTY",Setup!$D$11*((PI()*2*Setup!$B$22*A1162*B1162)/33000))</f>
        <v>EMPTY</v>
      </c>
      <c r="D1162" s="30" t="str">
        <f>IF(Setup!$H$2=0,"EMPTY",IF(B1162=0,"EMPTY",B1162*Setup!$B$22*Setup!$G$6*Setup!$D$11))</f>
        <v>EMPTY</v>
      </c>
      <c r="E1162" s="31">
        <f>IF(Setup!$H$2=0,-1,IF(A1162=0,-1,A1162*1/(Setup!$G$6)))</f>
        <v>-1</v>
      </c>
      <c r="F1162" s="31"/>
    </row>
    <row r="1163" spans="3:6" ht="15.75" x14ac:dyDescent="0.25">
      <c r="C1163" s="29" t="str">
        <f>IF(B1163=0,"EMPTY",Setup!$D$11*((PI()*2*Setup!$B$22*A1163*B1163)/33000))</f>
        <v>EMPTY</v>
      </c>
      <c r="D1163" s="30" t="str">
        <f>IF(Setup!$H$2=0,"EMPTY",IF(B1163=0,"EMPTY",B1163*Setup!$B$22*Setup!$G$6*Setup!$D$11))</f>
        <v>EMPTY</v>
      </c>
      <c r="E1163" s="31">
        <f>IF(Setup!$H$2=0,-1,IF(A1163=0,-1,A1163*1/(Setup!$G$6)))</f>
        <v>-1</v>
      </c>
      <c r="F1163" s="31"/>
    </row>
    <row r="1164" spans="3:6" ht="15.75" x14ac:dyDescent="0.25">
      <c r="C1164" s="29" t="str">
        <f>IF(B1164=0,"EMPTY",Setup!$D$11*((PI()*2*Setup!$B$22*A1164*B1164)/33000))</f>
        <v>EMPTY</v>
      </c>
      <c r="D1164" s="30" t="str">
        <f>IF(Setup!$H$2=0,"EMPTY",IF(B1164=0,"EMPTY",B1164*Setup!$B$22*Setup!$G$6*Setup!$D$11))</f>
        <v>EMPTY</v>
      </c>
      <c r="E1164" s="31">
        <f>IF(Setup!$H$2=0,-1,IF(A1164=0,-1,A1164*1/(Setup!$G$6)))</f>
        <v>-1</v>
      </c>
      <c r="F1164" s="31"/>
    </row>
    <row r="1165" spans="3:6" ht="15.75" x14ac:dyDescent="0.25">
      <c r="C1165" s="29" t="str">
        <f>IF(B1165=0,"EMPTY",Setup!$D$11*((PI()*2*Setup!$B$22*A1165*B1165)/33000))</f>
        <v>EMPTY</v>
      </c>
      <c r="D1165" s="30" t="str">
        <f>IF(Setup!$H$2=0,"EMPTY",IF(B1165=0,"EMPTY",B1165*Setup!$B$22*Setup!$G$6*Setup!$D$11))</f>
        <v>EMPTY</v>
      </c>
      <c r="E1165" s="31">
        <f>IF(Setup!$H$2=0,-1,IF(A1165=0,-1,A1165*1/(Setup!$G$6)))</f>
        <v>-1</v>
      </c>
      <c r="F1165" s="31"/>
    </row>
    <row r="1166" spans="3:6" ht="15.75" x14ac:dyDescent="0.25">
      <c r="C1166" s="29" t="str">
        <f>IF(B1166=0,"EMPTY",Setup!$D$11*((PI()*2*Setup!$B$22*A1166*B1166)/33000))</f>
        <v>EMPTY</v>
      </c>
      <c r="D1166" s="30" t="str">
        <f>IF(Setup!$H$2=0,"EMPTY",IF(B1166=0,"EMPTY",B1166*Setup!$B$22*Setup!$G$6*Setup!$D$11))</f>
        <v>EMPTY</v>
      </c>
      <c r="E1166" s="31">
        <f>IF(Setup!$H$2=0,-1,IF(A1166=0,-1,A1166*1/(Setup!$G$6)))</f>
        <v>-1</v>
      </c>
      <c r="F1166" s="31"/>
    </row>
    <row r="1167" spans="3:6" ht="15.75" x14ac:dyDescent="0.25">
      <c r="C1167" s="29" t="str">
        <f>IF(B1167=0,"EMPTY",Setup!$D$11*((PI()*2*Setup!$B$22*A1167*B1167)/33000))</f>
        <v>EMPTY</v>
      </c>
      <c r="D1167" s="30" t="str">
        <f>IF(Setup!$H$2=0,"EMPTY",IF(B1167=0,"EMPTY",B1167*Setup!$B$22*Setup!$G$6*Setup!$D$11))</f>
        <v>EMPTY</v>
      </c>
      <c r="E1167" s="31">
        <f>IF(Setup!$H$2=0,-1,IF(A1167=0,-1,A1167*1/(Setup!$G$6)))</f>
        <v>-1</v>
      </c>
      <c r="F1167" s="31"/>
    </row>
    <row r="1168" spans="3:6" ht="15.75" x14ac:dyDescent="0.25">
      <c r="C1168" s="29" t="str">
        <f>IF(B1168=0,"EMPTY",Setup!$D$11*((PI()*2*Setup!$B$22*A1168*B1168)/33000))</f>
        <v>EMPTY</v>
      </c>
      <c r="D1168" s="30" t="str">
        <f>IF(Setup!$H$2=0,"EMPTY",IF(B1168=0,"EMPTY",B1168*Setup!$B$22*Setup!$G$6*Setup!$D$11))</f>
        <v>EMPTY</v>
      </c>
      <c r="E1168" s="31">
        <f>IF(Setup!$H$2=0,-1,IF(A1168=0,-1,A1168*1/(Setup!$G$6)))</f>
        <v>-1</v>
      </c>
      <c r="F1168" s="31"/>
    </row>
    <row r="1169" spans="3:6" ht="15.75" x14ac:dyDescent="0.25">
      <c r="C1169" s="29" t="str">
        <f>IF(B1169=0,"EMPTY",Setup!$D$11*((PI()*2*Setup!$B$22*A1169*B1169)/33000))</f>
        <v>EMPTY</v>
      </c>
      <c r="D1169" s="30" t="str">
        <f>IF(Setup!$H$2=0,"EMPTY",IF(B1169=0,"EMPTY",B1169*Setup!$B$22*Setup!$G$6*Setup!$D$11))</f>
        <v>EMPTY</v>
      </c>
      <c r="E1169" s="31">
        <f>IF(Setup!$H$2=0,-1,IF(A1169=0,-1,A1169*1/(Setup!$G$6)))</f>
        <v>-1</v>
      </c>
      <c r="F1169" s="31"/>
    </row>
    <row r="1170" spans="3:6" ht="15.75" x14ac:dyDescent="0.25">
      <c r="C1170" s="29" t="str">
        <f>IF(B1170=0,"EMPTY",Setup!$D$11*((PI()*2*Setup!$B$22*A1170*B1170)/33000))</f>
        <v>EMPTY</v>
      </c>
      <c r="D1170" s="30" t="str">
        <f>IF(Setup!$H$2=0,"EMPTY",IF(B1170=0,"EMPTY",B1170*Setup!$B$22*Setup!$G$6*Setup!$D$11))</f>
        <v>EMPTY</v>
      </c>
      <c r="E1170" s="31">
        <f>IF(Setup!$H$2=0,-1,IF(A1170=0,-1,A1170*1/(Setup!$G$6)))</f>
        <v>-1</v>
      </c>
      <c r="F1170" s="31"/>
    </row>
    <row r="1171" spans="3:6" ht="15.75" x14ac:dyDescent="0.25">
      <c r="C1171" s="29" t="str">
        <f>IF(B1171=0,"EMPTY",Setup!$D$11*((PI()*2*Setup!$B$22*A1171*B1171)/33000))</f>
        <v>EMPTY</v>
      </c>
      <c r="D1171" s="30" t="str">
        <f>IF(Setup!$H$2=0,"EMPTY",IF(B1171=0,"EMPTY",B1171*Setup!$B$22*Setup!$G$6*Setup!$D$11))</f>
        <v>EMPTY</v>
      </c>
      <c r="E1171" s="31">
        <f>IF(Setup!$H$2=0,-1,IF(A1171=0,-1,A1171*1/(Setup!$G$6)))</f>
        <v>-1</v>
      </c>
      <c r="F1171" s="31"/>
    </row>
    <row r="1172" spans="3:6" ht="15.75" x14ac:dyDescent="0.25">
      <c r="C1172" s="29" t="str">
        <f>IF(B1172=0,"EMPTY",Setup!$D$11*((PI()*2*Setup!$B$22*A1172*B1172)/33000))</f>
        <v>EMPTY</v>
      </c>
      <c r="D1172" s="30" t="str">
        <f>IF(Setup!$H$2=0,"EMPTY",IF(B1172=0,"EMPTY",B1172*Setup!$B$22*Setup!$G$6*Setup!$D$11))</f>
        <v>EMPTY</v>
      </c>
      <c r="E1172" s="31">
        <f>IF(Setup!$H$2=0,-1,IF(A1172=0,-1,A1172*1/(Setup!$G$6)))</f>
        <v>-1</v>
      </c>
      <c r="F1172" s="31"/>
    </row>
    <row r="1173" spans="3:6" ht="15.75" x14ac:dyDescent="0.25">
      <c r="C1173" s="29" t="str">
        <f>IF(B1173=0,"EMPTY",Setup!$D$11*((PI()*2*Setup!$B$22*A1173*B1173)/33000))</f>
        <v>EMPTY</v>
      </c>
      <c r="D1173" s="30" t="str">
        <f>IF(Setup!$H$2=0,"EMPTY",IF(B1173=0,"EMPTY",B1173*Setup!$B$22*Setup!$G$6*Setup!$D$11))</f>
        <v>EMPTY</v>
      </c>
      <c r="E1173" s="31">
        <f>IF(Setup!$H$2=0,-1,IF(A1173=0,-1,A1173*1/(Setup!$G$6)))</f>
        <v>-1</v>
      </c>
      <c r="F1173" s="31"/>
    </row>
    <row r="1174" spans="3:6" ht="15.75" x14ac:dyDescent="0.25">
      <c r="C1174" s="29" t="str">
        <f>IF(B1174=0,"EMPTY",Setup!$D$11*((PI()*2*Setup!$B$22*A1174*B1174)/33000))</f>
        <v>EMPTY</v>
      </c>
      <c r="D1174" s="30" t="str">
        <f>IF(Setup!$H$2=0,"EMPTY",IF(B1174=0,"EMPTY",B1174*Setup!$B$22*Setup!$G$6*Setup!$D$11))</f>
        <v>EMPTY</v>
      </c>
      <c r="E1174" s="31">
        <f>IF(Setup!$H$2=0,-1,IF(A1174=0,-1,A1174*1/(Setup!$G$6)))</f>
        <v>-1</v>
      </c>
      <c r="F1174" s="31"/>
    </row>
    <row r="1175" spans="3:6" ht="15.75" x14ac:dyDescent="0.25">
      <c r="C1175" s="29" t="str">
        <f>IF(B1175=0,"EMPTY",Setup!$D$11*((PI()*2*Setup!$B$22*A1175*B1175)/33000))</f>
        <v>EMPTY</v>
      </c>
      <c r="D1175" s="30" t="str">
        <f>IF(Setup!$H$2=0,"EMPTY",IF(B1175=0,"EMPTY",B1175*Setup!$B$22*Setup!$G$6*Setup!$D$11))</f>
        <v>EMPTY</v>
      </c>
      <c r="E1175" s="31">
        <f>IF(Setup!$H$2=0,-1,IF(A1175=0,-1,A1175*1/(Setup!$G$6)))</f>
        <v>-1</v>
      </c>
      <c r="F1175" s="31"/>
    </row>
    <row r="1176" spans="3:6" ht="15.75" x14ac:dyDescent="0.25">
      <c r="C1176" s="29" t="str">
        <f>IF(B1176=0,"EMPTY",Setup!$D$11*((PI()*2*Setup!$B$22*A1176*B1176)/33000))</f>
        <v>EMPTY</v>
      </c>
      <c r="D1176" s="30" t="str">
        <f>IF(Setup!$H$2=0,"EMPTY",IF(B1176=0,"EMPTY",B1176*Setup!$B$22*Setup!$G$6*Setup!$D$11))</f>
        <v>EMPTY</v>
      </c>
      <c r="E1176" s="31">
        <f>IF(Setup!$H$2=0,-1,IF(A1176=0,-1,A1176*1/(Setup!$G$6)))</f>
        <v>-1</v>
      </c>
      <c r="F1176" s="31"/>
    </row>
    <row r="1177" spans="3:6" ht="15.75" x14ac:dyDescent="0.25">
      <c r="C1177" s="29" t="str">
        <f>IF(B1177=0,"EMPTY",Setup!$D$11*((PI()*2*Setup!$B$22*A1177*B1177)/33000))</f>
        <v>EMPTY</v>
      </c>
      <c r="D1177" s="30" t="str">
        <f>IF(Setup!$H$2=0,"EMPTY",IF(B1177=0,"EMPTY",B1177*Setup!$B$22*Setup!$G$6*Setup!$D$11))</f>
        <v>EMPTY</v>
      </c>
      <c r="E1177" s="31">
        <f>IF(Setup!$H$2=0,-1,IF(A1177=0,-1,A1177*1/(Setup!$G$6)))</f>
        <v>-1</v>
      </c>
      <c r="F1177" s="31"/>
    </row>
    <row r="1178" spans="3:6" ht="15.75" x14ac:dyDescent="0.25">
      <c r="C1178" s="29" t="str">
        <f>IF(B1178=0,"EMPTY",Setup!$D$11*((PI()*2*Setup!$B$22*A1178*B1178)/33000))</f>
        <v>EMPTY</v>
      </c>
      <c r="D1178" s="30" t="str">
        <f>IF(Setup!$H$2=0,"EMPTY",IF(B1178=0,"EMPTY",B1178*Setup!$B$22*Setup!$G$6*Setup!$D$11))</f>
        <v>EMPTY</v>
      </c>
      <c r="E1178" s="31">
        <f>IF(Setup!$H$2=0,-1,IF(A1178=0,-1,A1178*1/(Setup!$G$6)))</f>
        <v>-1</v>
      </c>
      <c r="F1178" s="31"/>
    </row>
    <row r="1179" spans="3:6" ht="15.75" x14ac:dyDescent="0.25">
      <c r="C1179" s="29" t="str">
        <f>IF(B1179=0,"EMPTY",Setup!$D$11*((PI()*2*Setup!$B$22*A1179*B1179)/33000))</f>
        <v>EMPTY</v>
      </c>
      <c r="D1179" s="30" t="str">
        <f>IF(Setup!$H$2=0,"EMPTY",IF(B1179=0,"EMPTY",B1179*Setup!$B$22*Setup!$G$6*Setup!$D$11))</f>
        <v>EMPTY</v>
      </c>
      <c r="E1179" s="31">
        <f>IF(Setup!$H$2=0,-1,IF(A1179=0,-1,A1179*1/(Setup!$G$6)))</f>
        <v>-1</v>
      </c>
      <c r="F1179" s="31"/>
    </row>
    <row r="1180" spans="3:6" ht="15.75" x14ac:dyDescent="0.25">
      <c r="C1180" s="29" t="str">
        <f>IF(B1180=0,"EMPTY",Setup!$D$11*((PI()*2*Setup!$B$22*A1180*B1180)/33000))</f>
        <v>EMPTY</v>
      </c>
      <c r="D1180" s="30" t="str">
        <f>IF(Setup!$H$2=0,"EMPTY",IF(B1180=0,"EMPTY",B1180*Setup!$B$22*Setup!$G$6*Setup!$D$11))</f>
        <v>EMPTY</v>
      </c>
      <c r="E1180" s="31">
        <f>IF(Setup!$H$2=0,-1,IF(A1180=0,-1,A1180*1/(Setup!$G$6)))</f>
        <v>-1</v>
      </c>
      <c r="F1180" s="31"/>
    </row>
    <row r="1181" spans="3:6" ht="15.75" x14ac:dyDescent="0.25">
      <c r="C1181" s="29" t="str">
        <f>IF(B1181=0,"EMPTY",Setup!$D$11*((PI()*2*Setup!$B$22*A1181*B1181)/33000))</f>
        <v>EMPTY</v>
      </c>
      <c r="D1181" s="30" t="str">
        <f>IF(Setup!$H$2=0,"EMPTY",IF(B1181=0,"EMPTY",B1181*Setup!$B$22*Setup!$G$6*Setup!$D$11))</f>
        <v>EMPTY</v>
      </c>
      <c r="E1181" s="31">
        <f>IF(Setup!$H$2=0,-1,IF(A1181=0,-1,A1181*1/(Setup!$G$6)))</f>
        <v>-1</v>
      </c>
      <c r="F1181" s="31"/>
    </row>
    <row r="1182" spans="3:6" ht="15.75" x14ac:dyDescent="0.25">
      <c r="C1182" s="29" t="str">
        <f>IF(B1182=0,"EMPTY",Setup!$D$11*((PI()*2*Setup!$B$22*A1182*B1182)/33000))</f>
        <v>EMPTY</v>
      </c>
      <c r="D1182" s="30" t="str">
        <f>IF(Setup!$H$2=0,"EMPTY",IF(B1182=0,"EMPTY",B1182*Setup!$B$22*Setup!$G$6*Setup!$D$11))</f>
        <v>EMPTY</v>
      </c>
      <c r="E1182" s="31">
        <f>IF(Setup!$H$2=0,-1,IF(A1182=0,-1,A1182*1/(Setup!$G$6)))</f>
        <v>-1</v>
      </c>
      <c r="F1182" s="31"/>
    </row>
    <row r="1183" spans="3:6" ht="15.75" x14ac:dyDescent="0.25">
      <c r="C1183" s="29" t="str">
        <f>IF(B1183=0,"EMPTY",Setup!$D$11*((PI()*2*Setup!$B$22*A1183*B1183)/33000))</f>
        <v>EMPTY</v>
      </c>
      <c r="D1183" s="30" t="str">
        <f>IF(Setup!$H$2=0,"EMPTY",IF(B1183=0,"EMPTY",B1183*Setup!$B$22*Setup!$G$6*Setup!$D$11))</f>
        <v>EMPTY</v>
      </c>
      <c r="E1183" s="31">
        <f>IF(Setup!$H$2=0,-1,IF(A1183=0,-1,A1183*1/(Setup!$G$6)))</f>
        <v>-1</v>
      </c>
      <c r="F1183" s="31"/>
    </row>
    <row r="1184" spans="3:6" ht="15.75" x14ac:dyDescent="0.25">
      <c r="C1184" s="29" t="str">
        <f>IF(B1184=0,"EMPTY",Setup!$D$11*((PI()*2*Setup!$B$22*A1184*B1184)/33000))</f>
        <v>EMPTY</v>
      </c>
      <c r="D1184" s="30" t="str">
        <f>IF(Setup!$H$2=0,"EMPTY",IF(B1184=0,"EMPTY",B1184*Setup!$B$22*Setup!$G$6*Setup!$D$11))</f>
        <v>EMPTY</v>
      </c>
      <c r="E1184" s="31">
        <f>IF(Setup!$H$2=0,-1,IF(A1184=0,-1,A1184*1/(Setup!$G$6)))</f>
        <v>-1</v>
      </c>
      <c r="F1184" s="31"/>
    </row>
    <row r="1185" spans="3:6" ht="15.75" x14ac:dyDescent="0.25">
      <c r="C1185" s="29" t="str">
        <f>IF(B1185=0,"EMPTY",Setup!$D$11*((PI()*2*Setup!$B$22*A1185*B1185)/33000))</f>
        <v>EMPTY</v>
      </c>
      <c r="D1185" s="30" t="str">
        <f>IF(Setup!$H$2=0,"EMPTY",IF(B1185=0,"EMPTY",B1185*Setup!$B$22*Setup!$G$6*Setup!$D$11))</f>
        <v>EMPTY</v>
      </c>
      <c r="E1185" s="31">
        <f>IF(Setup!$H$2=0,-1,IF(A1185=0,-1,A1185*1/(Setup!$G$6)))</f>
        <v>-1</v>
      </c>
      <c r="F1185" s="31"/>
    </row>
    <row r="1186" spans="3:6" ht="15.75" x14ac:dyDescent="0.25">
      <c r="C1186" s="29" t="str">
        <f>IF(B1186=0,"EMPTY",Setup!$D$11*((PI()*2*Setup!$B$22*A1186*B1186)/33000))</f>
        <v>EMPTY</v>
      </c>
      <c r="D1186" s="30" t="str">
        <f>IF(Setup!$H$2=0,"EMPTY",IF(B1186=0,"EMPTY",B1186*Setup!$B$22*Setup!$G$6*Setup!$D$11))</f>
        <v>EMPTY</v>
      </c>
      <c r="E1186" s="31">
        <f>IF(Setup!$H$2=0,-1,IF(A1186=0,-1,A1186*1/(Setup!$G$6)))</f>
        <v>-1</v>
      </c>
      <c r="F1186" s="31"/>
    </row>
    <row r="1187" spans="3:6" ht="15.75" x14ac:dyDescent="0.25">
      <c r="C1187" s="29" t="str">
        <f>IF(B1187=0,"EMPTY",Setup!$D$11*((PI()*2*Setup!$B$22*A1187*B1187)/33000))</f>
        <v>EMPTY</v>
      </c>
      <c r="D1187" s="30" t="str">
        <f>IF(Setup!$H$2=0,"EMPTY",IF(B1187=0,"EMPTY",B1187*Setup!$B$22*Setup!$G$6*Setup!$D$11))</f>
        <v>EMPTY</v>
      </c>
      <c r="E1187" s="31">
        <f>IF(Setup!$H$2=0,-1,IF(A1187=0,-1,A1187*1/(Setup!$G$6)))</f>
        <v>-1</v>
      </c>
      <c r="F1187" s="31"/>
    </row>
    <row r="1188" spans="3:6" ht="15.75" x14ac:dyDescent="0.25">
      <c r="C1188" s="29" t="str">
        <f>IF(B1188=0,"EMPTY",Setup!$D$11*((PI()*2*Setup!$B$22*A1188*B1188)/33000))</f>
        <v>EMPTY</v>
      </c>
      <c r="D1188" s="30" t="str">
        <f>IF(Setup!$H$2=0,"EMPTY",IF(B1188=0,"EMPTY",B1188*Setup!$B$22*Setup!$G$6*Setup!$D$11))</f>
        <v>EMPTY</v>
      </c>
      <c r="E1188" s="31">
        <f>IF(Setup!$H$2=0,-1,IF(A1188=0,-1,A1188*1/(Setup!$G$6)))</f>
        <v>-1</v>
      </c>
      <c r="F1188" s="31"/>
    </row>
    <row r="1189" spans="3:6" ht="15.75" x14ac:dyDescent="0.25">
      <c r="C1189" s="29" t="str">
        <f>IF(B1189=0,"EMPTY",Setup!$D$11*((PI()*2*Setup!$B$22*A1189*B1189)/33000))</f>
        <v>EMPTY</v>
      </c>
      <c r="D1189" s="30" t="str">
        <f>IF(Setup!$H$2=0,"EMPTY",IF(B1189=0,"EMPTY",B1189*Setup!$B$22*Setup!$G$6*Setup!$D$11))</f>
        <v>EMPTY</v>
      </c>
      <c r="E1189" s="31">
        <f>IF(Setup!$H$2=0,-1,IF(A1189=0,-1,A1189*1/(Setup!$G$6)))</f>
        <v>-1</v>
      </c>
      <c r="F1189" s="31"/>
    </row>
    <row r="1190" spans="3:6" ht="15.75" x14ac:dyDescent="0.25">
      <c r="C1190" s="29" t="str">
        <f>IF(B1190=0,"EMPTY",Setup!$D$11*((PI()*2*Setup!$B$22*A1190*B1190)/33000))</f>
        <v>EMPTY</v>
      </c>
      <c r="D1190" s="30" t="str">
        <f>IF(Setup!$H$2=0,"EMPTY",IF(B1190=0,"EMPTY",B1190*Setup!$B$22*Setup!$G$6*Setup!$D$11))</f>
        <v>EMPTY</v>
      </c>
      <c r="E1190" s="31">
        <f>IF(Setup!$H$2=0,-1,IF(A1190=0,-1,A1190*1/(Setup!$G$6)))</f>
        <v>-1</v>
      </c>
      <c r="F1190" s="31"/>
    </row>
    <row r="1191" spans="3:6" ht="15.75" x14ac:dyDescent="0.25">
      <c r="C1191" s="29" t="str">
        <f>IF(B1191=0,"EMPTY",Setup!$D$11*((PI()*2*Setup!$B$22*A1191*B1191)/33000))</f>
        <v>EMPTY</v>
      </c>
      <c r="D1191" s="30" t="str">
        <f>IF(Setup!$H$2=0,"EMPTY",IF(B1191=0,"EMPTY",B1191*Setup!$B$22*Setup!$G$6*Setup!$D$11))</f>
        <v>EMPTY</v>
      </c>
      <c r="E1191" s="31">
        <f>IF(Setup!$H$2=0,-1,IF(A1191=0,-1,A1191*1/(Setup!$G$6)))</f>
        <v>-1</v>
      </c>
      <c r="F1191" s="31"/>
    </row>
    <row r="1192" spans="3:6" ht="15.75" x14ac:dyDescent="0.25">
      <c r="C1192" s="29" t="str">
        <f>IF(B1192=0,"EMPTY",Setup!$D$11*((PI()*2*Setup!$B$22*A1192*B1192)/33000))</f>
        <v>EMPTY</v>
      </c>
      <c r="D1192" s="30" t="str">
        <f>IF(Setup!$H$2=0,"EMPTY",IF(B1192=0,"EMPTY",B1192*Setup!$B$22*Setup!$G$6*Setup!$D$11))</f>
        <v>EMPTY</v>
      </c>
      <c r="E1192" s="31">
        <f>IF(Setup!$H$2=0,-1,IF(A1192=0,-1,A1192*1/(Setup!$G$6)))</f>
        <v>-1</v>
      </c>
      <c r="F1192" s="31"/>
    </row>
    <row r="1193" spans="3:6" ht="15.75" x14ac:dyDescent="0.25">
      <c r="C1193" s="29" t="str">
        <f>IF(B1193=0,"EMPTY",Setup!$D$11*((PI()*2*Setup!$B$22*A1193*B1193)/33000))</f>
        <v>EMPTY</v>
      </c>
      <c r="D1193" s="30" t="str">
        <f>IF(Setup!$H$2=0,"EMPTY",IF(B1193=0,"EMPTY",B1193*Setup!$B$22*Setup!$G$6*Setup!$D$11))</f>
        <v>EMPTY</v>
      </c>
      <c r="E1193" s="31">
        <f>IF(Setup!$H$2=0,-1,IF(A1193=0,-1,A1193*1/(Setup!$G$6)))</f>
        <v>-1</v>
      </c>
      <c r="F1193" s="31"/>
    </row>
    <row r="1194" spans="3:6" ht="15.75" x14ac:dyDescent="0.25">
      <c r="C1194" s="29" t="str">
        <f>IF(B1194=0,"EMPTY",Setup!$D$11*((PI()*2*Setup!$B$22*A1194*B1194)/33000))</f>
        <v>EMPTY</v>
      </c>
      <c r="D1194" s="30" t="str">
        <f>IF(Setup!$H$2=0,"EMPTY",IF(B1194=0,"EMPTY",B1194*Setup!$B$22*Setup!$G$6*Setup!$D$11))</f>
        <v>EMPTY</v>
      </c>
      <c r="E1194" s="31">
        <f>IF(Setup!$H$2=0,-1,IF(A1194=0,-1,A1194*1/(Setup!$G$6)))</f>
        <v>-1</v>
      </c>
      <c r="F1194" s="31"/>
    </row>
    <row r="1195" spans="3:6" ht="15.75" x14ac:dyDescent="0.25">
      <c r="C1195" s="29" t="str">
        <f>IF(B1195=0,"EMPTY",Setup!$D$11*((PI()*2*Setup!$B$22*A1195*B1195)/33000))</f>
        <v>EMPTY</v>
      </c>
      <c r="D1195" s="30" t="str">
        <f>IF(Setup!$H$2=0,"EMPTY",IF(B1195=0,"EMPTY",B1195*Setup!$B$22*Setup!$G$6*Setup!$D$11))</f>
        <v>EMPTY</v>
      </c>
      <c r="E1195" s="31">
        <f>IF(Setup!$H$2=0,-1,IF(A1195=0,-1,A1195*1/(Setup!$G$6)))</f>
        <v>-1</v>
      </c>
      <c r="F1195" s="31"/>
    </row>
    <row r="1196" spans="3:6" ht="15.75" x14ac:dyDescent="0.25">
      <c r="C1196" s="29" t="str">
        <f>IF(B1196=0,"EMPTY",Setup!$D$11*((PI()*2*Setup!$B$22*A1196*B1196)/33000))</f>
        <v>EMPTY</v>
      </c>
      <c r="D1196" s="30" t="str">
        <f>IF(Setup!$H$2=0,"EMPTY",IF(B1196=0,"EMPTY",B1196*Setup!$B$22*Setup!$G$6*Setup!$D$11))</f>
        <v>EMPTY</v>
      </c>
      <c r="E1196" s="31">
        <f>IF(Setup!$H$2=0,-1,IF(A1196=0,-1,A1196*1/(Setup!$G$6)))</f>
        <v>-1</v>
      </c>
      <c r="F1196" s="31"/>
    </row>
    <row r="1197" spans="3:6" ht="15.75" x14ac:dyDescent="0.25">
      <c r="C1197" s="29" t="str">
        <f>IF(B1197=0,"EMPTY",Setup!$D$11*((PI()*2*Setup!$B$22*A1197*B1197)/33000))</f>
        <v>EMPTY</v>
      </c>
      <c r="D1197" s="30" t="str">
        <f>IF(Setup!$H$2=0,"EMPTY",IF(B1197=0,"EMPTY",B1197*Setup!$B$22*Setup!$G$6*Setup!$D$11))</f>
        <v>EMPTY</v>
      </c>
      <c r="E1197" s="31">
        <f>IF(Setup!$H$2=0,-1,IF(A1197=0,-1,A1197*1/(Setup!$G$6)))</f>
        <v>-1</v>
      </c>
      <c r="F1197" s="31"/>
    </row>
    <row r="1198" spans="3:6" ht="15.75" x14ac:dyDescent="0.25">
      <c r="C1198" s="29" t="str">
        <f>IF(B1198=0,"EMPTY",Setup!$D$11*((PI()*2*Setup!$B$22*A1198*B1198)/33000))</f>
        <v>EMPTY</v>
      </c>
      <c r="D1198" s="30" t="str">
        <f>IF(Setup!$H$2=0,"EMPTY",IF(B1198=0,"EMPTY",B1198*Setup!$B$22*Setup!$G$6*Setup!$D$11))</f>
        <v>EMPTY</v>
      </c>
      <c r="E1198" s="31">
        <f>IF(Setup!$H$2=0,-1,IF(A1198=0,-1,A1198*1/(Setup!$G$6)))</f>
        <v>-1</v>
      </c>
      <c r="F1198" s="31"/>
    </row>
    <row r="1199" spans="3:6" ht="15.75" x14ac:dyDescent="0.25">
      <c r="C1199" s="29" t="str">
        <f>IF(B1199=0,"EMPTY",Setup!$D$11*((PI()*2*Setup!$B$22*A1199*B1199)/33000))</f>
        <v>EMPTY</v>
      </c>
      <c r="D1199" s="30" t="str">
        <f>IF(Setup!$H$2=0,"EMPTY",IF(B1199=0,"EMPTY",B1199*Setup!$B$22*Setup!$G$6*Setup!$D$11))</f>
        <v>EMPTY</v>
      </c>
      <c r="E1199" s="31">
        <f>IF(Setup!$H$2=0,-1,IF(A1199=0,-1,A1199*1/(Setup!$G$6)))</f>
        <v>-1</v>
      </c>
      <c r="F1199" s="31"/>
    </row>
    <row r="1200" spans="3:6" ht="15.75" x14ac:dyDescent="0.25">
      <c r="C1200" s="29" t="str">
        <f>IF(B1200=0,"EMPTY",Setup!$D$11*((PI()*2*Setup!$B$22*A1200*B1200)/33000))</f>
        <v>EMPTY</v>
      </c>
      <c r="D1200" s="30" t="str">
        <f>IF(Setup!$H$2=0,"EMPTY",IF(B1200=0,"EMPTY",B1200*Setup!$B$22*Setup!$G$6*Setup!$D$11))</f>
        <v>EMPTY</v>
      </c>
      <c r="E1200" s="31">
        <f>IF(Setup!$H$2=0,-1,IF(A1200=0,-1,A1200*1/(Setup!$G$6)))</f>
        <v>-1</v>
      </c>
      <c r="F1200" s="31"/>
    </row>
    <row r="1201" spans="3:6" ht="15.75" x14ac:dyDescent="0.25">
      <c r="C1201" s="29" t="str">
        <f>IF(B1201=0,"EMPTY",Setup!$D$11*((PI()*2*Setup!$B$22*A1201*B1201)/33000))</f>
        <v>EMPTY</v>
      </c>
      <c r="D1201" s="30" t="str">
        <f>IF(Setup!$H$2=0,"EMPTY",IF(B1201=0,"EMPTY",B1201*Setup!$B$22*Setup!$G$6*Setup!$D$11))</f>
        <v>EMPTY</v>
      </c>
      <c r="E1201" s="31">
        <f>IF(Setup!$H$2=0,-1,IF(A1201=0,-1,A1201*1/(Setup!$G$6)))</f>
        <v>-1</v>
      </c>
      <c r="F1201" s="31"/>
    </row>
    <row r="1202" spans="3:6" ht="15.75" x14ac:dyDescent="0.25">
      <c r="C1202" s="29" t="str">
        <f>IF(B1202=0,"EMPTY",Setup!$D$11*((PI()*2*Setup!$B$22*A1202*B1202)/33000))</f>
        <v>EMPTY</v>
      </c>
      <c r="D1202" s="30" t="str">
        <f>IF(Setup!$H$2=0,"EMPTY",IF(B1202=0,"EMPTY",B1202*Setup!$B$22*Setup!$G$6*Setup!$D$11))</f>
        <v>EMPTY</v>
      </c>
      <c r="E1202" s="31">
        <f>IF(Setup!$H$2=0,-1,IF(A1202=0,-1,A1202*1/(Setup!$G$6)))</f>
        <v>-1</v>
      </c>
      <c r="F1202" s="31"/>
    </row>
    <row r="1203" spans="3:6" ht="15.75" x14ac:dyDescent="0.25">
      <c r="C1203" s="29" t="str">
        <f>IF(B1203=0,"EMPTY",Setup!$D$11*((PI()*2*Setup!$B$22*A1203*B1203)/33000))</f>
        <v>EMPTY</v>
      </c>
      <c r="D1203" s="30" t="str">
        <f>IF(Setup!$H$2=0,"EMPTY",IF(B1203=0,"EMPTY",B1203*Setup!$B$22*Setup!$G$6*Setup!$D$11))</f>
        <v>EMPTY</v>
      </c>
      <c r="E1203" s="31">
        <f>IF(Setup!$H$2=0,-1,IF(A1203=0,-1,A1203*1/(Setup!$G$6)))</f>
        <v>-1</v>
      </c>
      <c r="F1203" s="31"/>
    </row>
    <row r="1204" spans="3:6" ht="15.75" x14ac:dyDescent="0.25">
      <c r="C1204" s="29" t="str">
        <f>IF(B1204=0,"EMPTY",Setup!$D$11*((PI()*2*Setup!$B$22*A1204*B1204)/33000))</f>
        <v>EMPTY</v>
      </c>
      <c r="D1204" s="30" t="str">
        <f>IF(Setup!$H$2=0,"EMPTY",IF(B1204=0,"EMPTY",B1204*Setup!$B$22*Setup!$G$6*Setup!$D$11))</f>
        <v>EMPTY</v>
      </c>
      <c r="E1204" s="31">
        <f>IF(Setup!$H$2=0,-1,IF(A1204=0,-1,A1204*1/(Setup!$G$6)))</f>
        <v>-1</v>
      </c>
      <c r="F1204" s="31"/>
    </row>
    <row r="1205" spans="3:6" ht="15.75" x14ac:dyDescent="0.25">
      <c r="C1205" s="29" t="str">
        <f>IF(B1205=0,"EMPTY",Setup!$D$11*((PI()*2*Setup!$B$22*A1205*B1205)/33000))</f>
        <v>EMPTY</v>
      </c>
      <c r="D1205" s="30" t="str">
        <f>IF(Setup!$H$2=0,"EMPTY",IF(B1205=0,"EMPTY",B1205*Setup!$B$22*Setup!$G$6*Setup!$D$11))</f>
        <v>EMPTY</v>
      </c>
      <c r="E1205" s="31">
        <f>IF(Setup!$H$2=0,-1,IF(A1205=0,-1,A1205*1/(Setup!$G$6)))</f>
        <v>-1</v>
      </c>
      <c r="F1205" s="31"/>
    </row>
    <row r="1206" spans="3:6" ht="15.75" x14ac:dyDescent="0.25">
      <c r="C1206" s="29" t="str">
        <f>IF(B1206=0,"EMPTY",Setup!$D$11*((PI()*2*Setup!$B$22*A1206*B1206)/33000))</f>
        <v>EMPTY</v>
      </c>
      <c r="D1206" s="30" t="str">
        <f>IF(Setup!$H$2=0,"EMPTY",IF(B1206=0,"EMPTY",B1206*Setup!$B$22*Setup!$G$6*Setup!$D$11))</f>
        <v>EMPTY</v>
      </c>
      <c r="E1206" s="31">
        <f>IF(Setup!$H$2=0,-1,IF(A1206=0,-1,A1206*1/(Setup!$G$6)))</f>
        <v>-1</v>
      </c>
      <c r="F1206" s="31"/>
    </row>
    <row r="1207" spans="3:6" ht="15.75" x14ac:dyDescent="0.25">
      <c r="C1207" s="29" t="str">
        <f>IF(B1207=0,"EMPTY",Setup!$D$11*((PI()*2*Setup!$B$22*A1207*B1207)/33000))</f>
        <v>EMPTY</v>
      </c>
      <c r="D1207" s="30" t="str">
        <f>IF(Setup!$H$2=0,"EMPTY",IF(B1207=0,"EMPTY",B1207*Setup!$B$22*Setup!$G$6*Setup!$D$11))</f>
        <v>EMPTY</v>
      </c>
      <c r="E1207" s="31">
        <f>IF(Setup!$H$2=0,-1,IF(A1207=0,-1,A1207*1/(Setup!$G$6)))</f>
        <v>-1</v>
      </c>
      <c r="F1207" s="31"/>
    </row>
    <row r="1208" spans="3:6" ht="15.75" x14ac:dyDescent="0.25">
      <c r="C1208" s="29" t="str">
        <f>IF(B1208=0,"EMPTY",Setup!$D$11*((PI()*2*Setup!$B$22*A1208*B1208)/33000))</f>
        <v>EMPTY</v>
      </c>
      <c r="D1208" s="30" t="str">
        <f>IF(Setup!$H$2=0,"EMPTY",IF(B1208=0,"EMPTY",B1208*Setup!$B$22*Setup!$G$6*Setup!$D$11))</f>
        <v>EMPTY</v>
      </c>
      <c r="E1208" s="31">
        <f>IF(Setup!$H$2=0,-1,IF(A1208=0,-1,A1208*1/(Setup!$G$6)))</f>
        <v>-1</v>
      </c>
      <c r="F1208" s="31"/>
    </row>
    <row r="1209" spans="3:6" ht="15.75" x14ac:dyDescent="0.25">
      <c r="C1209" s="29" t="str">
        <f>IF(B1209=0,"EMPTY",Setup!$D$11*((PI()*2*Setup!$B$22*A1209*B1209)/33000))</f>
        <v>EMPTY</v>
      </c>
      <c r="D1209" s="30" t="str">
        <f>IF(Setup!$H$2=0,"EMPTY",IF(B1209=0,"EMPTY",B1209*Setup!$B$22*Setup!$G$6*Setup!$D$11))</f>
        <v>EMPTY</v>
      </c>
      <c r="E1209" s="31">
        <f>IF(Setup!$H$2=0,-1,IF(A1209=0,-1,A1209*1/(Setup!$G$6)))</f>
        <v>-1</v>
      </c>
      <c r="F1209" s="31"/>
    </row>
    <row r="1210" spans="3:6" ht="15.75" x14ac:dyDescent="0.25">
      <c r="C1210" s="29" t="str">
        <f>IF(B1210=0,"EMPTY",Setup!$D$11*((PI()*2*Setup!$B$22*A1210*B1210)/33000))</f>
        <v>EMPTY</v>
      </c>
      <c r="D1210" s="30" t="str">
        <f>IF(Setup!$H$2=0,"EMPTY",IF(B1210=0,"EMPTY",B1210*Setup!$B$22*Setup!$G$6*Setup!$D$11))</f>
        <v>EMPTY</v>
      </c>
      <c r="E1210" s="31">
        <f>IF(Setup!$H$2=0,-1,IF(A1210=0,-1,A1210*1/(Setup!$G$6)))</f>
        <v>-1</v>
      </c>
      <c r="F1210" s="31"/>
    </row>
    <row r="1211" spans="3:6" ht="15.75" x14ac:dyDescent="0.25">
      <c r="C1211" s="29" t="str">
        <f>IF(B1211=0,"EMPTY",Setup!$D$11*((PI()*2*Setup!$B$22*A1211*B1211)/33000))</f>
        <v>EMPTY</v>
      </c>
      <c r="D1211" s="30" t="str">
        <f>IF(Setup!$H$2=0,"EMPTY",IF(B1211=0,"EMPTY",B1211*Setup!$B$22*Setup!$G$6*Setup!$D$11))</f>
        <v>EMPTY</v>
      </c>
      <c r="E1211" s="31">
        <f>IF(Setup!$H$2=0,-1,IF(A1211=0,-1,A1211*1/(Setup!$G$6)))</f>
        <v>-1</v>
      </c>
      <c r="F1211" s="31"/>
    </row>
    <row r="1212" spans="3:6" ht="15.75" x14ac:dyDescent="0.25">
      <c r="C1212" s="29" t="str">
        <f>IF(B1212=0,"EMPTY",Setup!$D$11*((PI()*2*Setup!$B$22*A1212*B1212)/33000))</f>
        <v>EMPTY</v>
      </c>
      <c r="D1212" s="30" t="str">
        <f>IF(Setup!$H$2=0,"EMPTY",IF(B1212=0,"EMPTY",B1212*Setup!$B$22*Setup!$G$6*Setup!$D$11))</f>
        <v>EMPTY</v>
      </c>
      <c r="E1212" s="31">
        <f>IF(Setup!$H$2=0,-1,IF(A1212=0,-1,A1212*1/(Setup!$G$6)))</f>
        <v>-1</v>
      </c>
      <c r="F1212" s="31"/>
    </row>
    <row r="1213" spans="3:6" ht="15.75" x14ac:dyDescent="0.25">
      <c r="C1213" s="29" t="str">
        <f>IF(B1213=0,"EMPTY",Setup!$D$11*((PI()*2*Setup!$B$22*A1213*B1213)/33000))</f>
        <v>EMPTY</v>
      </c>
      <c r="D1213" s="30" t="str">
        <f>IF(Setup!$H$2=0,"EMPTY",IF(B1213=0,"EMPTY",B1213*Setup!$B$22*Setup!$G$6*Setup!$D$11))</f>
        <v>EMPTY</v>
      </c>
      <c r="E1213" s="31">
        <f>IF(Setup!$H$2=0,-1,IF(A1213=0,-1,A1213*1/(Setup!$G$6)))</f>
        <v>-1</v>
      </c>
      <c r="F1213" s="31"/>
    </row>
    <row r="1214" spans="3:6" ht="15.75" x14ac:dyDescent="0.25">
      <c r="C1214" s="29" t="str">
        <f>IF(B1214=0,"EMPTY",Setup!$D$11*((PI()*2*Setup!$B$22*A1214*B1214)/33000))</f>
        <v>EMPTY</v>
      </c>
      <c r="D1214" s="30" t="str">
        <f>IF(Setup!$H$2=0,"EMPTY",IF(B1214=0,"EMPTY",B1214*Setup!$B$22*Setup!$G$6*Setup!$D$11))</f>
        <v>EMPTY</v>
      </c>
      <c r="E1214" s="31">
        <f>IF(Setup!$H$2=0,-1,IF(A1214=0,-1,A1214*1/(Setup!$G$6)))</f>
        <v>-1</v>
      </c>
      <c r="F1214" s="31"/>
    </row>
    <row r="1215" spans="3:6" ht="15.75" x14ac:dyDescent="0.25">
      <c r="C1215" s="29" t="str">
        <f>IF(B1215=0,"EMPTY",Setup!$D$11*((PI()*2*Setup!$B$22*A1215*B1215)/33000))</f>
        <v>EMPTY</v>
      </c>
      <c r="D1215" s="30" t="str">
        <f>IF(Setup!$H$2=0,"EMPTY",IF(B1215=0,"EMPTY",B1215*Setup!$B$22*Setup!$G$6*Setup!$D$11))</f>
        <v>EMPTY</v>
      </c>
      <c r="E1215" s="31">
        <f>IF(Setup!$H$2=0,-1,IF(A1215=0,-1,A1215*1/(Setup!$G$6)))</f>
        <v>-1</v>
      </c>
      <c r="F1215" s="31"/>
    </row>
    <row r="1216" spans="3:6" ht="15.75" x14ac:dyDescent="0.25">
      <c r="C1216" s="29" t="str">
        <f>IF(B1216=0,"EMPTY",Setup!$D$11*((PI()*2*Setup!$B$22*A1216*B1216)/33000))</f>
        <v>EMPTY</v>
      </c>
      <c r="D1216" s="30" t="str">
        <f>IF(Setup!$H$2=0,"EMPTY",IF(B1216=0,"EMPTY",B1216*Setup!$B$22*Setup!$G$6*Setup!$D$11))</f>
        <v>EMPTY</v>
      </c>
      <c r="E1216" s="31">
        <f>IF(Setup!$H$2=0,-1,IF(A1216=0,-1,A1216*1/(Setup!$G$6)))</f>
        <v>-1</v>
      </c>
      <c r="F1216" s="31"/>
    </row>
    <row r="1217" spans="3:6" ht="15.75" x14ac:dyDescent="0.25">
      <c r="C1217" s="29" t="str">
        <f>IF(B1217=0,"EMPTY",Setup!$D$11*((PI()*2*Setup!$B$22*A1217*B1217)/33000))</f>
        <v>EMPTY</v>
      </c>
      <c r="D1217" s="30" t="str">
        <f>IF(Setup!$H$2=0,"EMPTY",IF(B1217=0,"EMPTY",B1217*Setup!$B$22*Setup!$G$6*Setup!$D$11))</f>
        <v>EMPTY</v>
      </c>
      <c r="E1217" s="31">
        <f>IF(Setup!$H$2=0,-1,IF(A1217=0,-1,A1217*1/(Setup!$G$6)))</f>
        <v>-1</v>
      </c>
      <c r="F1217" s="31"/>
    </row>
    <row r="1218" spans="3:6" ht="15.75" x14ac:dyDescent="0.25">
      <c r="C1218" s="29" t="str">
        <f>IF(B1218=0,"EMPTY",Setup!$D$11*((PI()*2*Setup!$B$22*A1218*B1218)/33000))</f>
        <v>EMPTY</v>
      </c>
      <c r="D1218" s="30" t="str">
        <f>IF(Setup!$H$2=0,"EMPTY",IF(B1218=0,"EMPTY",B1218*Setup!$B$22*Setup!$G$6*Setup!$D$11))</f>
        <v>EMPTY</v>
      </c>
      <c r="E1218" s="31">
        <f>IF(Setup!$H$2=0,-1,IF(A1218=0,-1,A1218*1/(Setup!$G$6)))</f>
        <v>-1</v>
      </c>
      <c r="F1218" s="31"/>
    </row>
    <row r="1219" spans="3:6" ht="15.75" x14ac:dyDescent="0.25">
      <c r="C1219" s="29" t="str">
        <f>IF(B1219=0,"EMPTY",Setup!$D$11*((PI()*2*Setup!$B$22*A1219*B1219)/33000))</f>
        <v>EMPTY</v>
      </c>
      <c r="D1219" s="30" t="str">
        <f>IF(Setup!$H$2=0,"EMPTY",IF(B1219=0,"EMPTY",B1219*Setup!$B$22*Setup!$G$6*Setup!$D$11))</f>
        <v>EMPTY</v>
      </c>
      <c r="E1219" s="31">
        <f>IF(Setup!$H$2=0,-1,IF(A1219=0,-1,A1219*1/(Setup!$G$6)))</f>
        <v>-1</v>
      </c>
      <c r="F1219" s="31"/>
    </row>
    <row r="1220" spans="3:6" ht="15.75" x14ac:dyDescent="0.25">
      <c r="C1220" s="29" t="str">
        <f>IF(B1220=0,"EMPTY",Setup!$D$11*((PI()*2*Setup!$B$22*A1220*B1220)/33000))</f>
        <v>EMPTY</v>
      </c>
      <c r="D1220" s="30" t="str">
        <f>IF(Setup!$H$2=0,"EMPTY",IF(B1220=0,"EMPTY",B1220*Setup!$B$22*Setup!$G$6*Setup!$D$11))</f>
        <v>EMPTY</v>
      </c>
      <c r="E1220" s="31">
        <f>IF(Setup!$H$2=0,-1,IF(A1220=0,-1,A1220*1/(Setup!$G$6)))</f>
        <v>-1</v>
      </c>
      <c r="F1220" s="31"/>
    </row>
    <row r="1221" spans="3:6" ht="15.75" x14ac:dyDescent="0.25">
      <c r="C1221" s="29" t="str">
        <f>IF(B1221=0,"EMPTY",Setup!$D$11*((PI()*2*Setup!$B$22*A1221*B1221)/33000))</f>
        <v>EMPTY</v>
      </c>
      <c r="D1221" s="30" t="str">
        <f>IF(Setup!$H$2=0,"EMPTY",IF(B1221=0,"EMPTY",B1221*Setup!$B$22*Setup!$G$6*Setup!$D$11))</f>
        <v>EMPTY</v>
      </c>
      <c r="E1221" s="31">
        <f>IF(Setup!$H$2=0,-1,IF(A1221=0,-1,A1221*1/(Setup!$G$6)))</f>
        <v>-1</v>
      </c>
      <c r="F1221" s="31"/>
    </row>
    <row r="1222" spans="3:6" ht="15.75" x14ac:dyDescent="0.25">
      <c r="C1222" s="29" t="str">
        <f>IF(B1222=0,"EMPTY",Setup!$D$11*((PI()*2*Setup!$B$22*A1222*B1222)/33000))</f>
        <v>EMPTY</v>
      </c>
      <c r="D1222" s="30" t="str">
        <f>IF(Setup!$H$2=0,"EMPTY",IF(B1222=0,"EMPTY",B1222*Setup!$B$22*Setup!$G$6*Setup!$D$11))</f>
        <v>EMPTY</v>
      </c>
      <c r="E1222" s="31">
        <f>IF(Setup!$H$2=0,-1,IF(A1222=0,-1,A1222*1/(Setup!$G$6)))</f>
        <v>-1</v>
      </c>
      <c r="F1222" s="31"/>
    </row>
    <row r="1223" spans="3:6" ht="15.75" x14ac:dyDescent="0.25">
      <c r="C1223" s="29" t="str">
        <f>IF(B1223=0,"EMPTY",Setup!$D$11*((PI()*2*Setup!$B$22*A1223*B1223)/33000))</f>
        <v>EMPTY</v>
      </c>
      <c r="D1223" s="30" t="str">
        <f>IF(Setup!$H$2=0,"EMPTY",IF(B1223=0,"EMPTY",B1223*Setup!$B$22*Setup!$G$6*Setup!$D$11))</f>
        <v>EMPTY</v>
      </c>
      <c r="E1223" s="31">
        <f>IF(Setup!$H$2=0,-1,IF(A1223=0,-1,A1223*1/(Setup!$G$6)))</f>
        <v>-1</v>
      </c>
      <c r="F1223" s="31"/>
    </row>
    <row r="1224" spans="3:6" ht="15.75" x14ac:dyDescent="0.25">
      <c r="C1224" s="29" t="str">
        <f>IF(B1224=0,"EMPTY",Setup!$D$11*((PI()*2*Setup!$B$22*A1224*B1224)/33000))</f>
        <v>EMPTY</v>
      </c>
      <c r="D1224" s="30" t="str">
        <f>IF(Setup!$H$2=0,"EMPTY",IF(B1224=0,"EMPTY",B1224*Setup!$B$22*Setup!$G$6*Setup!$D$11))</f>
        <v>EMPTY</v>
      </c>
      <c r="E1224" s="31">
        <f>IF(Setup!$H$2=0,-1,IF(A1224=0,-1,A1224*1/(Setup!$G$6)))</f>
        <v>-1</v>
      </c>
      <c r="F1224" s="31"/>
    </row>
    <row r="1225" spans="3:6" ht="15.75" x14ac:dyDescent="0.25">
      <c r="C1225" s="29" t="str">
        <f>IF(B1225=0,"EMPTY",Setup!$D$11*((PI()*2*Setup!$B$22*A1225*B1225)/33000))</f>
        <v>EMPTY</v>
      </c>
      <c r="D1225" s="30" t="str">
        <f>IF(Setup!$H$2=0,"EMPTY",IF(B1225=0,"EMPTY",B1225*Setup!$B$22*Setup!$G$6*Setup!$D$11))</f>
        <v>EMPTY</v>
      </c>
      <c r="E1225" s="31">
        <f>IF(Setup!$H$2=0,-1,IF(A1225=0,-1,A1225*1/(Setup!$G$6)))</f>
        <v>-1</v>
      </c>
      <c r="F1225" s="31"/>
    </row>
    <row r="1226" spans="3:6" ht="15.75" x14ac:dyDescent="0.25">
      <c r="C1226" s="29" t="str">
        <f>IF(B1226=0,"EMPTY",Setup!$D$11*((PI()*2*Setup!$B$22*A1226*B1226)/33000))</f>
        <v>EMPTY</v>
      </c>
      <c r="D1226" s="30" t="str">
        <f>IF(Setup!$H$2=0,"EMPTY",IF(B1226=0,"EMPTY",B1226*Setup!$B$22*Setup!$G$6*Setup!$D$11))</f>
        <v>EMPTY</v>
      </c>
      <c r="E1226" s="31">
        <f>IF(Setup!$H$2=0,-1,IF(A1226=0,-1,A1226*1/(Setup!$G$6)))</f>
        <v>-1</v>
      </c>
      <c r="F1226" s="31"/>
    </row>
    <row r="1227" spans="3:6" ht="15.75" x14ac:dyDescent="0.25">
      <c r="C1227" s="29" t="str">
        <f>IF(B1227=0,"EMPTY",Setup!$D$11*((PI()*2*Setup!$B$22*A1227*B1227)/33000))</f>
        <v>EMPTY</v>
      </c>
      <c r="D1227" s="30" t="str">
        <f>IF(Setup!$H$2=0,"EMPTY",IF(B1227=0,"EMPTY",B1227*Setup!$B$22*Setup!$G$6*Setup!$D$11))</f>
        <v>EMPTY</v>
      </c>
      <c r="E1227" s="31">
        <f>IF(Setup!$H$2=0,-1,IF(A1227=0,-1,A1227*1/(Setup!$G$6)))</f>
        <v>-1</v>
      </c>
      <c r="F1227" s="31"/>
    </row>
    <row r="1228" spans="3:6" ht="15.75" x14ac:dyDescent="0.25">
      <c r="C1228" s="29" t="str">
        <f>IF(B1228=0,"EMPTY",Setup!$D$11*((PI()*2*Setup!$B$22*A1228*B1228)/33000))</f>
        <v>EMPTY</v>
      </c>
      <c r="D1228" s="30" t="str">
        <f>IF(Setup!$H$2=0,"EMPTY",IF(B1228=0,"EMPTY",B1228*Setup!$B$22*Setup!$G$6*Setup!$D$11))</f>
        <v>EMPTY</v>
      </c>
      <c r="E1228" s="31">
        <f>IF(Setup!$H$2=0,-1,IF(A1228=0,-1,A1228*1/(Setup!$G$6)))</f>
        <v>-1</v>
      </c>
      <c r="F1228" s="31"/>
    </row>
    <row r="1229" spans="3:6" ht="15.75" x14ac:dyDescent="0.25">
      <c r="C1229" s="29" t="str">
        <f>IF(B1229=0,"EMPTY",Setup!$D$11*((PI()*2*Setup!$B$22*A1229*B1229)/33000))</f>
        <v>EMPTY</v>
      </c>
      <c r="D1229" s="30" t="str">
        <f>IF(Setup!$H$2=0,"EMPTY",IF(B1229=0,"EMPTY",B1229*Setup!$B$22*Setup!$G$6*Setup!$D$11))</f>
        <v>EMPTY</v>
      </c>
      <c r="E1229" s="31">
        <f>IF(Setup!$H$2=0,-1,IF(A1229=0,-1,A1229*1/(Setup!$G$6)))</f>
        <v>-1</v>
      </c>
      <c r="F1229" s="31"/>
    </row>
    <row r="1230" spans="3:6" ht="15.75" x14ac:dyDescent="0.25">
      <c r="C1230" s="29" t="str">
        <f>IF(B1230=0,"EMPTY",Setup!$D$11*((PI()*2*Setup!$B$22*A1230*B1230)/33000))</f>
        <v>EMPTY</v>
      </c>
      <c r="D1230" s="30" t="str">
        <f>IF(Setup!$H$2=0,"EMPTY",IF(B1230=0,"EMPTY",B1230*Setup!$B$22*Setup!$G$6*Setup!$D$11))</f>
        <v>EMPTY</v>
      </c>
      <c r="E1230" s="31">
        <f>IF(Setup!$H$2=0,-1,IF(A1230=0,-1,A1230*1/(Setup!$G$6)))</f>
        <v>-1</v>
      </c>
      <c r="F1230" s="31"/>
    </row>
    <row r="1231" spans="3:6" ht="15.75" x14ac:dyDescent="0.25">
      <c r="C1231" s="29" t="str">
        <f>IF(B1231=0,"EMPTY",Setup!$D$11*((PI()*2*Setup!$B$22*A1231*B1231)/33000))</f>
        <v>EMPTY</v>
      </c>
      <c r="D1231" s="30" t="str">
        <f>IF(Setup!$H$2=0,"EMPTY",IF(B1231=0,"EMPTY",B1231*Setup!$B$22*Setup!$G$6*Setup!$D$11))</f>
        <v>EMPTY</v>
      </c>
      <c r="E1231" s="31">
        <f>IF(Setup!$H$2=0,-1,IF(A1231=0,-1,A1231*1/(Setup!$G$6)))</f>
        <v>-1</v>
      </c>
      <c r="F1231" s="31"/>
    </row>
    <row r="1232" spans="3:6" ht="15.75" x14ac:dyDescent="0.25">
      <c r="C1232" s="29" t="str">
        <f>IF(B1232=0,"EMPTY",Setup!$D$11*((PI()*2*Setup!$B$22*A1232*B1232)/33000))</f>
        <v>EMPTY</v>
      </c>
      <c r="D1232" s="30" t="str">
        <f>IF(Setup!$H$2=0,"EMPTY",IF(B1232=0,"EMPTY",B1232*Setup!$B$22*Setup!$G$6*Setup!$D$11))</f>
        <v>EMPTY</v>
      </c>
      <c r="E1232" s="31">
        <f>IF(Setup!$H$2=0,-1,IF(A1232=0,-1,A1232*1/(Setup!$G$6)))</f>
        <v>-1</v>
      </c>
      <c r="F1232" s="31"/>
    </row>
    <row r="1233" spans="3:6" ht="15.75" x14ac:dyDescent="0.25">
      <c r="C1233" s="29" t="str">
        <f>IF(B1233=0,"EMPTY",Setup!$D$11*((PI()*2*Setup!$B$22*A1233*B1233)/33000))</f>
        <v>EMPTY</v>
      </c>
      <c r="D1233" s="30" t="str">
        <f>IF(Setup!$H$2=0,"EMPTY",IF(B1233=0,"EMPTY",B1233*Setup!$B$22*Setup!$G$6*Setup!$D$11))</f>
        <v>EMPTY</v>
      </c>
      <c r="E1233" s="31">
        <f>IF(Setup!$H$2=0,-1,IF(A1233=0,-1,A1233*1/(Setup!$G$6)))</f>
        <v>-1</v>
      </c>
      <c r="F1233" s="31"/>
    </row>
    <row r="1234" spans="3:6" ht="15.75" x14ac:dyDescent="0.25">
      <c r="C1234" s="29" t="str">
        <f>IF(B1234=0,"EMPTY",Setup!$D$11*((PI()*2*Setup!$B$22*A1234*B1234)/33000))</f>
        <v>EMPTY</v>
      </c>
      <c r="D1234" s="30" t="str">
        <f>IF(Setup!$H$2=0,"EMPTY",IF(B1234=0,"EMPTY",B1234*Setup!$B$22*Setup!$G$6*Setup!$D$11))</f>
        <v>EMPTY</v>
      </c>
      <c r="E1234" s="31">
        <f>IF(Setup!$H$2=0,-1,IF(A1234=0,-1,A1234*1/(Setup!$G$6)))</f>
        <v>-1</v>
      </c>
      <c r="F1234" s="31"/>
    </row>
    <row r="1235" spans="3:6" ht="15.75" x14ac:dyDescent="0.25">
      <c r="C1235" s="29" t="str">
        <f>IF(B1235=0,"EMPTY",Setup!$D$11*((PI()*2*Setup!$B$22*A1235*B1235)/33000))</f>
        <v>EMPTY</v>
      </c>
      <c r="D1235" s="30" t="str">
        <f>IF(Setup!$H$2=0,"EMPTY",IF(B1235=0,"EMPTY",B1235*Setup!$B$22*Setup!$G$6*Setup!$D$11))</f>
        <v>EMPTY</v>
      </c>
      <c r="E1235" s="31">
        <f>IF(Setup!$H$2=0,-1,IF(A1235=0,-1,A1235*1/(Setup!$G$6)))</f>
        <v>-1</v>
      </c>
      <c r="F1235" s="31"/>
    </row>
    <row r="1236" spans="3:6" ht="15.75" x14ac:dyDescent="0.25">
      <c r="C1236" s="29" t="str">
        <f>IF(B1236=0,"EMPTY",Setup!$D$11*((PI()*2*Setup!$B$22*A1236*B1236)/33000))</f>
        <v>EMPTY</v>
      </c>
      <c r="D1236" s="30" t="str">
        <f>IF(Setup!$H$2=0,"EMPTY",IF(B1236=0,"EMPTY",B1236*Setup!$B$22*Setup!$G$6*Setup!$D$11))</f>
        <v>EMPTY</v>
      </c>
      <c r="E1236" s="31">
        <f>IF(Setup!$H$2=0,-1,IF(A1236=0,-1,A1236*1/(Setup!$G$6)))</f>
        <v>-1</v>
      </c>
      <c r="F1236" s="31"/>
    </row>
    <row r="1237" spans="3:6" ht="15.75" x14ac:dyDescent="0.25">
      <c r="C1237" s="29" t="str">
        <f>IF(B1237=0,"EMPTY",Setup!$D$11*((PI()*2*Setup!$B$22*A1237*B1237)/33000))</f>
        <v>EMPTY</v>
      </c>
      <c r="D1237" s="30" t="str">
        <f>IF(Setup!$H$2=0,"EMPTY",IF(B1237=0,"EMPTY",B1237*Setup!$B$22*Setup!$G$6*Setup!$D$11))</f>
        <v>EMPTY</v>
      </c>
      <c r="E1237" s="31">
        <f>IF(Setup!$H$2=0,-1,IF(A1237=0,-1,A1237*1/(Setup!$G$6)))</f>
        <v>-1</v>
      </c>
      <c r="F1237" s="31"/>
    </row>
    <row r="1238" spans="3:6" ht="15.75" x14ac:dyDescent="0.25">
      <c r="C1238" s="29" t="str">
        <f>IF(B1238=0,"EMPTY",Setup!$D$11*((PI()*2*Setup!$B$22*A1238*B1238)/33000))</f>
        <v>EMPTY</v>
      </c>
      <c r="D1238" s="30" t="str">
        <f>IF(Setup!$H$2=0,"EMPTY",IF(B1238=0,"EMPTY",B1238*Setup!$B$22*Setup!$G$6*Setup!$D$11))</f>
        <v>EMPTY</v>
      </c>
      <c r="E1238" s="31">
        <f>IF(Setup!$H$2=0,-1,IF(A1238=0,-1,A1238*1/(Setup!$G$6)))</f>
        <v>-1</v>
      </c>
      <c r="F1238" s="31"/>
    </row>
    <row r="1239" spans="3:6" ht="15.75" x14ac:dyDescent="0.25">
      <c r="C1239" s="29" t="str">
        <f>IF(B1239=0,"EMPTY",Setup!$D$11*((PI()*2*Setup!$B$22*A1239*B1239)/33000))</f>
        <v>EMPTY</v>
      </c>
      <c r="D1239" s="30" t="str">
        <f>IF(Setup!$H$2=0,"EMPTY",IF(B1239=0,"EMPTY",B1239*Setup!$B$22*Setup!$G$6*Setup!$D$11))</f>
        <v>EMPTY</v>
      </c>
      <c r="E1239" s="31">
        <f>IF(Setup!$H$2=0,-1,IF(A1239=0,-1,A1239*1/(Setup!$G$6)))</f>
        <v>-1</v>
      </c>
      <c r="F1239" s="31"/>
    </row>
    <row r="1240" spans="3:6" ht="15.75" x14ac:dyDescent="0.25">
      <c r="C1240" s="29" t="str">
        <f>IF(B1240=0,"EMPTY",Setup!$D$11*((PI()*2*Setup!$B$22*A1240*B1240)/33000))</f>
        <v>EMPTY</v>
      </c>
      <c r="D1240" s="30" t="str">
        <f>IF(Setup!$H$2=0,"EMPTY",IF(B1240=0,"EMPTY",B1240*Setup!$B$22*Setup!$G$6*Setup!$D$11))</f>
        <v>EMPTY</v>
      </c>
      <c r="E1240" s="31">
        <f>IF(Setup!$H$2=0,-1,IF(A1240=0,-1,A1240*1/(Setup!$G$6)))</f>
        <v>-1</v>
      </c>
      <c r="F1240" s="31"/>
    </row>
    <row r="1241" spans="3:6" ht="15.75" x14ac:dyDescent="0.25">
      <c r="C1241" s="29" t="str">
        <f>IF(B1241=0,"EMPTY",Setup!$D$11*((PI()*2*Setup!$B$22*A1241*B1241)/33000))</f>
        <v>EMPTY</v>
      </c>
      <c r="D1241" s="30" t="str">
        <f>IF(Setup!$H$2=0,"EMPTY",IF(B1241=0,"EMPTY",B1241*Setup!$B$22*Setup!$G$6*Setup!$D$11))</f>
        <v>EMPTY</v>
      </c>
      <c r="E1241" s="31">
        <f>IF(Setup!$H$2=0,-1,IF(A1241=0,-1,A1241*1/(Setup!$G$6)))</f>
        <v>-1</v>
      </c>
      <c r="F1241" s="31"/>
    </row>
    <row r="1242" spans="3:6" ht="15.75" x14ac:dyDescent="0.25">
      <c r="C1242" s="29" t="str">
        <f>IF(B1242=0,"EMPTY",Setup!$D$11*((PI()*2*Setup!$B$22*A1242*B1242)/33000))</f>
        <v>EMPTY</v>
      </c>
      <c r="D1242" s="30" t="str">
        <f>IF(Setup!$H$2=0,"EMPTY",IF(B1242=0,"EMPTY",B1242*Setup!$B$22*Setup!$G$6*Setup!$D$11))</f>
        <v>EMPTY</v>
      </c>
      <c r="E1242" s="31">
        <f>IF(Setup!$H$2=0,-1,IF(A1242=0,-1,A1242*1/(Setup!$G$6)))</f>
        <v>-1</v>
      </c>
      <c r="F1242" s="31"/>
    </row>
    <row r="1243" spans="3:6" ht="15.75" x14ac:dyDescent="0.25">
      <c r="C1243" s="29" t="str">
        <f>IF(B1243=0,"EMPTY",Setup!$D$11*((PI()*2*Setup!$B$22*A1243*B1243)/33000))</f>
        <v>EMPTY</v>
      </c>
      <c r="D1243" s="30" t="str">
        <f>IF(Setup!$H$2=0,"EMPTY",IF(B1243=0,"EMPTY",B1243*Setup!$B$22*Setup!$G$6*Setup!$D$11))</f>
        <v>EMPTY</v>
      </c>
      <c r="E1243" s="31">
        <f>IF(Setup!$H$2=0,-1,IF(A1243=0,-1,A1243*1/(Setup!$G$6)))</f>
        <v>-1</v>
      </c>
      <c r="F1243" s="31"/>
    </row>
    <row r="1244" spans="3:6" ht="15.75" x14ac:dyDescent="0.25">
      <c r="C1244" s="29" t="str">
        <f>IF(B1244=0,"EMPTY",Setup!$D$11*((PI()*2*Setup!$B$22*A1244*B1244)/33000))</f>
        <v>EMPTY</v>
      </c>
      <c r="D1244" s="30" t="str">
        <f>IF(Setup!$H$2=0,"EMPTY",IF(B1244=0,"EMPTY",B1244*Setup!$B$22*Setup!$G$6*Setup!$D$11))</f>
        <v>EMPTY</v>
      </c>
      <c r="E1244" s="31">
        <f>IF(Setup!$H$2=0,-1,IF(A1244=0,-1,A1244*1/(Setup!$G$6)))</f>
        <v>-1</v>
      </c>
      <c r="F1244" s="31"/>
    </row>
    <row r="1245" spans="3:6" ht="15.75" x14ac:dyDescent="0.25">
      <c r="C1245" s="29" t="str">
        <f>IF(B1245=0,"EMPTY",Setup!$D$11*((PI()*2*Setup!$B$22*A1245*B1245)/33000))</f>
        <v>EMPTY</v>
      </c>
      <c r="D1245" s="30" t="str">
        <f>IF(Setup!$H$2=0,"EMPTY",IF(B1245=0,"EMPTY",B1245*Setup!$B$22*Setup!$G$6*Setup!$D$11))</f>
        <v>EMPTY</v>
      </c>
      <c r="E1245" s="31">
        <f>IF(Setup!$H$2=0,-1,IF(A1245=0,-1,A1245*1/(Setup!$G$6)))</f>
        <v>-1</v>
      </c>
      <c r="F1245" s="31"/>
    </row>
    <row r="1246" spans="3:6" ht="15.75" x14ac:dyDescent="0.25">
      <c r="C1246" s="29" t="str">
        <f>IF(B1246=0,"EMPTY",Setup!$D$11*((PI()*2*Setup!$B$22*A1246*B1246)/33000))</f>
        <v>EMPTY</v>
      </c>
      <c r="D1246" s="30" t="str">
        <f>IF(Setup!$H$2=0,"EMPTY",IF(B1246=0,"EMPTY",B1246*Setup!$B$22*Setup!$G$6*Setup!$D$11))</f>
        <v>EMPTY</v>
      </c>
      <c r="E1246" s="31">
        <f>IF(Setup!$H$2=0,-1,IF(A1246=0,-1,A1246*1/(Setup!$G$6)))</f>
        <v>-1</v>
      </c>
      <c r="F1246" s="31"/>
    </row>
    <row r="1247" spans="3:6" ht="15.75" x14ac:dyDescent="0.25">
      <c r="C1247" s="29" t="str">
        <f>IF(B1247=0,"EMPTY",Setup!$D$11*((PI()*2*Setup!$B$22*A1247*B1247)/33000))</f>
        <v>EMPTY</v>
      </c>
      <c r="D1247" s="30" t="str">
        <f>IF(Setup!$H$2=0,"EMPTY",IF(B1247=0,"EMPTY",B1247*Setup!$B$22*Setup!$G$6*Setup!$D$11))</f>
        <v>EMPTY</v>
      </c>
      <c r="E1247" s="31">
        <f>IF(Setup!$H$2=0,-1,IF(A1247=0,-1,A1247*1/(Setup!$G$6)))</f>
        <v>-1</v>
      </c>
      <c r="F1247" s="31"/>
    </row>
    <row r="1248" spans="3:6" ht="15.75" x14ac:dyDescent="0.25">
      <c r="C1248" s="29" t="str">
        <f>IF(B1248=0,"EMPTY",Setup!$D$11*((PI()*2*Setup!$B$22*A1248*B1248)/33000))</f>
        <v>EMPTY</v>
      </c>
      <c r="D1248" s="30" t="str">
        <f>IF(Setup!$H$2=0,"EMPTY",IF(B1248=0,"EMPTY",B1248*Setup!$B$22*Setup!$G$6*Setup!$D$11))</f>
        <v>EMPTY</v>
      </c>
      <c r="E1248" s="31">
        <f>IF(Setup!$H$2=0,-1,IF(A1248=0,-1,A1248*1/(Setup!$G$6)))</f>
        <v>-1</v>
      </c>
      <c r="F1248" s="31"/>
    </row>
    <row r="1249" spans="3:6" ht="15.75" x14ac:dyDescent="0.25">
      <c r="C1249" s="29" t="str">
        <f>IF(B1249=0,"EMPTY",Setup!$D$11*((PI()*2*Setup!$B$22*A1249*B1249)/33000))</f>
        <v>EMPTY</v>
      </c>
      <c r="D1249" s="30" t="str">
        <f>IF(Setup!$H$2=0,"EMPTY",IF(B1249=0,"EMPTY",B1249*Setup!$B$22*Setup!$G$6*Setup!$D$11))</f>
        <v>EMPTY</v>
      </c>
      <c r="E1249" s="31">
        <f>IF(Setup!$H$2=0,-1,IF(A1249=0,-1,A1249*1/(Setup!$G$6)))</f>
        <v>-1</v>
      </c>
      <c r="F1249" s="31"/>
    </row>
    <row r="1250" spans="3:6" ht="15.75" x14ac:dyDescent="0.25">
      <c r="C1250" s="29" t="str">
        <f>IF(B1250=0,"EMPTY",Setup!$D$11*((PI()*2*Setup!$B$22*A1250*B1250)/33000))</f>
        <v>EMPTY</v>
      </c>
      <c r="D1250" s="30" t="str">
        <f>IF(Setup!$H$2=0,"EMPTY",IF(B1250=0,"EMPTY",B1250*Setup!$B$22*Setup!$G$6*Setup!$D$11))</f>
        <v>EMPTY</v>
      </c>
      <c r="E1250" s="31">
        <f>IF(Setup!$H$2=0,-1,IF(A1250=0,-1,A1250*1/(Setup!$G$6)))</f>
        <v>-1</v>
      </c>
      <c r="F1250" s="31"/>
    </row>
    <row r="1251" spans="3:6" ht="15.75" x14ac:dyDescent="0.25">
      <c r="C1251" s="29" t="str">
        <f>IF(B1251=0,"EMPTY",Setup!$D$11*((PI()*2*Setup!$B$22*A1251*B1251)/33000))</f>
        <v>EMPTY</v>
      </c>
      <c r="D1251" s="30" t="str">
        <f>IF(Setup!$H$2=0,"EMPTY",IF(B1251=0,"EMPTY",B1251*Setup!$B$22*Setup!$G$6*Setup!$D$11))</f>
        <v>EMPTY</v>
      </c>
      <c r="E1251" s="31">
        <f>IF(Setup!$H$2=0,-1,IF(A1251=0,-1,A1251*1/(Setup!$G$6)))</f>
        <v>-1</v>
      </c>
      <c r="F1251" s="31"/>
    </row>
    <row r="1252" spans="3:6" ht="15.75" x14ac:dyDescent="0.25">
      <c r="C1252" s="29" t="str">
        <f>IF(B1252=0,"EMPTY",Setup!$D$11*((PI()*2*Setup!$B$22*A1252*B1252)/33000))</f>
        <v>EMPTY</v>
      </c>
      <c r="D1252" s="30" t="str">
        <f>IF(Setup!$H$2=0,"EMPTY",IF(B1252=0,"EMPTY",B1252*Setup!$B$22*Setup!$G$6*Setup!$D$11))</f>
        <v>EMPTY</v>
      </c>
      <c r="E1252" s="31">
        <f>IF(Setup!$H$2=0,-1,IF(A1252=0,-1,A1252*1/(Setup!$G$6)))</f>
        <v>-1</v>
      </c>
      <c r="F1252" s="31"/>
    </row>
    <row r="1253" spans="3:6" ht="15.75" x14ac:dyDescent="0.25">
      <c r="C1253" s="29" t="str">
        <f>IF(B1253=0,"EMPTY",Setup!$D$11*((PI()*2*Setup!$B$22*A1253*B1253)/33000))</f>
        <v>EMPTY</v>
      </c>
      <c r="D1253" s="30" t="str">
        <f>IF(Setup!$H$2=0,"EMPTY",IF(B1253=0,"EMPTY",B1253*Setup!$B$22*Setup!$G$6*Setup!$D$11))</f>
        <v>EMPTY</v>
      </c>
      <c r="E1253" s="31">
        <f>IF(Setup!$H$2=0,-1,IF(A1253=0,-1,A1253*1/(Setup!$G$6)))</f>
        <v>-1</v>
      </c>
      <c r="F1253" s="31"/>
    </row>
    <row r="1254" spans="3:6" ht="15.75" x14ac:dyDescent="0.25">
      <c r="C1254" s="29" t="str">
        <f>IF(B1254=0,"EMPTY",Setup!$D$11*((PI()*2*Setup!$B$22*A1254*B1254)/33000))</f>
        <v>EMPTY</v>
      </c>
      <c r="D1254" s="30" t="str">
        <f>IF(Setup!$H$2=0,"EMPTY",IF(B1254=0,"EMPTY",B1254*Setup!$B$22*Setup!$G$6*Setup!$D$11))</f>
        <v>EMPTY</v>
      </c>
      <c r="E1254" s="31">
        <f>IF(Setup!$H$2=0,-1,IF(A1254=0,-1,A1254*1/(Setup!$G$6)))</f>
        <v>-1</v>
      </c>
      <c r="F1254" s="31"/>
    </row>
    <row r="1255" spans="3:6" ht="15.75" x14ac:dyDescent="0.25">
      <c r="C1255" s="29" t="str">
        <f>IF(B1255=0,"EMPTY",Setup!$D$11*((PI()*2*Setup!$B$22*A1255*B1255)/33000))</f>
        <v>EMPTY</v>
      </c>
      <c r="D1255" s="30" t="str">
        <f>IF(Setup!$H$2=0,"EMPTY",IF(B1255=0,"EMPTY",B1255*Setup!$B$22*Setup!$G$6*Setup!$D$11))</f>
        <v>EMPTY</v>
      </c>
      <c r="E1255" s="31">
        <f>IF(Setup!$H$2=0,-1,IF(A1255=0,-1,A1255*1/(Setup!$G$6)))</f>
        <v>-1</v>
      </c>
      <c r="F1255" s="31"/>
    </row>
    <row r="1256" spans="3:6" ht="15.75" x14ac:dyDescent="0.25">
      <c r="C1256" s="29" t="str">
        <f>IF(B1256=0,"EMPTY",Setup!$D$11*((PI()*2*Setup!$B$22*A1256*B1256)/33000))</f>
        <v>EMPTY</v>
      </c>
      <c r="D1256" s="30" t="str">
        <f>IF(Setup!$H$2=0,"EMPTY",IF(B1256=0,"EMPTY",B1256*Setup!$B$22*Setup!$G$6*Setup!$D$11))</f>
        <v>EMPTY</v>
      </c>
      <c r="E1256" s="31">
        <f>IF(Setup!$H$2=0,-1,IF(A1256=0,-1,A1256*1/(Setup!$G$6)))</f>
        <v>-1</v>
      </c>
      <c r="F1256" s="31"/>
    </row>
    <row r="1257" spans="3:6" ht="15.75" x14ac:dyDescent="0.25">
      <c r="C1257" s="29" t="str">
        <f>IF(B1257=0,"EMPTY",Setup!$D$11*((PI()*2*Setup!$B$22*A1257*B1257)/33000))</f>
        <v>EMPTY</v>
      </c>
      <c r="D1257" s="30" t="str">
        <f>IF(Setup!$H$2=0,"EMPTY",IF(B1257=0,"EMPTY",B1257*Setup!$B$22*Setup!$G$6*Setup!$D$11))</f>
        <v>EMPTY</v>
      </c>
      <c r="E1257" s="31">
        <f>IF(Setup!$H$2=0,-1,IF(A1257=0,-1,A1257*1/(Setup!$G$6)))</f>
        <v>-1</v>
      </c>
      <c r="F1257" s="31"/>
    </row>
    <row r="1258" spans="3:6" ht="15.75" x14ac:dyDescent="0.25">
      <c r="C1258" s="29" t="str">
        <f>IF(B1258=0,"EMPTY",Setup!$D$11*((PI()*2*Setup!$B$22*A1258*B1258)/33000))</f>
        <v>EMPTY</v>
      </c>
      <c r="D1258" s="30" t="str">
        <f>IF(Setup!$H$2=0,"EMPTY",IF(B1258=0,"EMPTY",B1258*Setup!$B$22*Setup!$G$6*Setup!$D$11))</f>
        <v>EMPTY</v>
      </c>
      <c r="E1258" s="31">
        <f>IF(Setup!$H$2=0,-1,IF(A1258=0,-1,A1258*1/(Setup!$G$6)))</f>
        <v>-1</v>
      </c>
      <c r="F1258" s="31"/>
    </row>
    <row r="1259" spans="3:6" ht="15.75" x14ac:dyDescent="0.25">
      <c r="C1259" s="29" t="str">
        <f>IF(B1259=0,"EMPTY",Setup!$D$11*((PI()*2*Setup!$B$22*A1259*B1259)/33000))</f>
        <v>EMPTY</v>
      </c>
      <c r="D1259" s="30" t="str">
        <f>IF(Setup!$H$2=0,"EMPTY",IF(B1259=0,"EMPTY",B1259*Setup!$B$22*Setup!$G$6*Setup!$D$11))</f>
        <v>EMPTY</v>
      </c>
      <c r="E1259" s="31">
        <f>IF(Setup!$H$2=0,-1,IF(A1259=0,-1,A1259*1/(Setup!$G$6)))</f>
        <v>-1</v>
      </c>
      <c r="F1259" s="31"/>
    </row>
    <row r="1260" spans="3:6" ht="15.75" x14ac:dyDescent="0.25">
      <c r="C1260" s="29" t="str">
        <f>IF(B1260=0,"EMPTY",Setup!$D$11*((PI()*2*Setup!$B$22*A1260*B1260)/33000))</f>
        <v>EMPTY</v>
      </c>
      <c r="D1260" s="30" t="str">
        <f>IF(Setup!$H$2=0,"EMPTY",IF(B1260=0,"EMPTY",B1260*Setup!$B$22*Setup!$G$6*Setup!$D$11))</f>
        <v>EMPTY</v>
      </c>
      <c r="E1260" s="31">
        <f>IF(Setup!$H$2=0,-1,IF(A1260=0,-1,A1260*1/(Setup!$G$6)))</f>
        <v>-1</v>
      </c>
      <c r="F1260" s="31"/>
    </row>
    <row r="1261" spans="3:6" ht="15.75" x14ac:dyDescent="0.25">
      <c r="C1261" s="29" t="str">
        <f>IF(B1261=0,"EMPTY",Setup!$D$11*((PI()*2*Setup!$B$22*A1261*B1261)/33000))</f>
        <v>EMPTY</v>
      </c>
      <c r="D1261" s="30" t="str">
        <f>IF(Setup!$H$2=0,"EMPTY",IF(B1261=0,"EMPTY",B1261*Setup!$B$22*Setup!$G$6*Setup!$D$11))</f>
        <v>EMPTY</v>
      </c>
      <c r="E1261" s="31">
        <f>IF(Setup!$H$2=0,-1,IF(A1261=0,-1,A1261*1/(Setup!$G$6)))</f>
        <v>-1</v>
      </c>
      <c r="F1261" s="31"/>
    </row>
    <row r="1262" spans="3:6" ht="15.75" x14ac:dyDescent="0.25">
      <c r="C1262" s="29" t="str">
        <f>IF(B1262=0,"EMPTY",Setup!$D$11*((PI()*2*Setup!$B$22*A1262*B1262)/33000))</f>
        <v>EMPTY</v>
      </c>
      <c r="D1262" s="30" t="str">
        <f>IF(Setup!$H$2=0,"EMPTY",IF(B1262=0,"EMPTY",B1262*Setup!$B$22*Setup!$G$6*Setup!$D$11))</f>
        <v>EMPTY</v>
      </c>
      <c r="E1262" s="31">
        <f>IF(Setup!$H$2=0,-1,IF(A1262=0,-1,A1262*1/(Setup!$G$6)))</f>
        <v>-1</v>
      </c>
      <c r="F1262" s="31"/>
    </row>
    <row r="1263" spans="3:6" ht="15.75" x14ac:dyDescent="0.25">
      <c r="C1263" s="29" t="str">
        <f>IF(B1263=0,"EMPTY",Setup!$D$11*((PI()*2*Setup!$B$22*A1263*B1263)/33000))</f>
        <v>EMPTY</v>
      </c>
      <c r="D1263" s="30" t="str">
        <f>IF(Setup!$H$2=0,"EMPTY",IF(B1263=0,"EMPTY",B1263*Setup!$B$22*Setup!$G$6*Setup!$D$11))</f>
        <v>EMPTY</v>
      </c>
      <c r="E1263" s="31">
        <f>IF(Setup!$H$2=0,-1,IF(A1263=0,-1,A1263*1/(Setup!$G$6)))</f>
        <v>-1</v>
      </c>
      <c r="F1263" s="31"/>
    </row>
    <row r="1264" spans="3:6" ht="15.75" x14ac:dyDescent="0.25">
      <c r="C1264" s="29" t="str">
        <f>IF(B1264=0,"EMPTY",Setup!$D$11*((PI()*2*Setup!$B$22*A1264*B1264)/33000))</f>
        <v>EMPTY</v>
      </c>
      <c r="D1264" s="30" t="str">
        <f>IF(Setup!$H$2=0,"EMPTY",IF(B1264=0,"EMPTY",B1264*Setup!$B$22*Setup!$G$6*Setup!$D$11))</f>
        <v>EMPTY</v>
      </c>
      <c r="E1264" s="31">
        <f>IF(Setup!$H$2=0,-1,IF(A1264=0,-1,A1264*1/(Setup!$G$6)))</f>
        <v>-1</v>
      </c>
      <c r="F1264" s="31"/>
    </row>
    <row r="1265" spans="3:6" ht="15.75" x14ac:dyDescent="0.25">
      <c r="C1265" s="29" t="str">
        <f>IF(B1265=0,"EMPTY",Setup!$D$11*((PI()*2*Setup!$B$22*A1265*B1265)/33000))</f>
        <v>EMPTY</v>
      </c>
      <c r="D1265" s="30" t="str">
        <f>IF(Setup!$H$2=0,"EMPTY",IF(B1265=0,"EMPTY",B1265*Setup!$B$22*Setup!$G$6*Setup!$D$11))</f>
        <v>EMPTY</v>
      </c>
      <c r="E1265" s="31">
        <f>IF(Setup!$H$2=0,-1,IF(A1265=0,-1,A1265*1/(Setup!$G$6)))</f>
        <v>-1</v>
      </c>
      <c r="F1265" s="31"/>
    </row>
    <row r="1266" spans="3:6" ht="15.75" x14ac:dyDescent="0.25">
      <c r="C1266" s="29" t="str">
        <f>IF(B1266=0,"EMPTY",Setup!$D$11*((PI()*2*Setup!$B$22*A1266*B1266)/33000))</f>
        <v>EMPTY</v>
      </c>
      <c r="D1266" s="30" t="str">
        <f>IF(Setup!$H$2=0,"EMPTY",IF(B1266=0,"EMPTY",B1266*Setup!$B$22*Setup!$G$6*Setup!$D$11))</f>
        <v>EMPTY</v>
      </c>
      <c r="E1266" s="31">
        <f>IF(Setup!$H$2=0,-1,IF(A1266=0,-1,A1266*1/(Setup!$G$6)))</f>
        <v>-1</v>
      </c>
      <c r="F1266" s="31"/>
    </row>
    <row r="1267" spans="3:6" ht="15.75" x14ac:dyDescent="0.25">
      <c r="C1267" s="29" t="str">
        <f>IF(B1267=0,"EMPTY",Setup!$D$11*((PI()*2*Setup!$B$22*A1267*B1267)/33000))</f>
        <v>EMPTY</v>
      </c>
      <c r="D1267" s="30" t="str">
        <f>IF(Setup!$H$2=0,"EMPTY",IF(B1267=0,"EMPTY",B1267*Setup!$B$22*Setup!$G$6*Setup!$D$11))</f>
        <v>EMPTY</v>
      </c>
      <c r="E1267" s="31">
        <f>IF(Setup!$H$2=0,-1,IF(A1267=0,-1,A1267*1/(Setup!$G$6)))</f>
        <v>-1</v>
      </c>
      <c r="F1267" s="31"/>
    </row>
    <row r="1268" spans="3:6" ht="15.75" x14ac:dyDescent="0.25">
      <c r="C1268" s="29" t="str">
        <f>IF(B1268=0,"EMPTY",Setup!$D$11*((PI()*2*Setup!$B$22*A1268*B1268)/33000))</f>
        <v>EMPTY</v>
      </c>
      <c r="D1268" s="30" t="str">
        <f>IF(Setup!$H$2=0,"EMPTY",IF(B1268=0,"EMPTY",B1268*Setup!$B$22*Setup!$G$6*Setup!$D$11))</f>
        <v>EMPTY</v>
      </c>
      <c r="E1268" s="31">
        <f>IF(Setup!$H$2=0,-1,IF(A1268=0,-1,A1268*1/(Setup!$G$6)))</f>
        <v>-1</v>
      </c>
      <c r="F1268" s="31"/>
    </row>
    <row r="1269" spans="3:6" ht="15.75" x14ac:dyDescent="0.25">
      <c r="C1269" s="29" t="str">
        <f>IF(B1269=0,"EMPTY",Setup!$D$11*((PI()*2*Setup!$B$22*A1269*B1269)/33000))</f>
        <v>EMPTY</v>
      </c>
      <c r="D1269" s="30" t="str">
        <f>IF(Setup!$H$2=0,"EMPTY",IF(B1269=0,"EMPTY",B1269*Setup!$B$22*Setup!$G$6*Setup!$D$11))</f>
        <v>EMPTY</v>
      </c>
      <c r="E1269" s="31">
        <f>IF(Setup!$H$2=0,-1,IF(A1269=0,-1,A1269*1/(Setup!$G$6)))</f>
        <v>-1</v>
      </c>
      <c r="F1269" s="31"/>
    </row>
    <row r="1270" spans="3:6" ht="15.75" x14ac:dyDescent="0.25">
      <c r="C1270" s="29" t="str">
        <f>IF(B1270=0,"EMPTY",Setup!$D$11*((PI()*2*Setup!$B$22*A1270*B1270)/33000))</f>
        <v>EMPTY</v>
      </c>
      <c r="D1270" s="30" t="str">
        <f>IF(Setup!$H$2=0,"EMPTY",IF(B1270=0,"EMPTY",B1270*Setup!$B$22*Setup!$G$6*Setup!$D$11))</f>
        <v>EMPTY</v>
      </c>
      <c r="E1270" s="31">
        <f>IF(Setup!$H$2=0,-1,IF(A1270=0,-1,A1270*1/(Setup!$G$6)))</f>
        <v>-1</v>
      </c>
      <c r="F1270" s="31"/>
    </row>
    <row r="1271" spans="3:6" ht="15.75" x14ac:dyDescent="0.25">
      <c r="C1271" s="29" t="str">
        <f>IF(B1271=0,"EMPTY",Setup!$D$11*((PI()*2*Setup!$B$22*A1271*B1271)/33000))</f>
        <v>EMPTY</v>
      </c>
      <c r="D1271" s="30" t="str">
        <f>IF(Setup!$H$2=0,"EMPTY",IF(B1271=0,"EMPTY",B1271*Setup!$B$22*Setup!$G$6*Setup!$D$11))</f>
        <v>EMPTY</v>
      </c>
      <c r="E1271" s="31">
        <f>IF(Setup!$H$2=0,-1,IF(A1271=0,-1,A1271*1/(Setup!$G$6)))</f>
        <v>-1</v>
      </c>
      <c r="F1271" s="31"/>
    </row>
    <row r="1272" spans="3:6" ht="15.75" x14ac:dyDescent="0.25">
      <c r="C1272" s="29" t="str">
        <f>IF(B1272=0,"EMPTY",Setup!$D$11*((PI()*2*Setup!$B$22*A1272*B1272)/33000))</f>
        <v>EMPTY</v>
      </c>
      <c r="D1272" s="30" t="str">
        <f>IF(Setup!$H$2=0,"EMPTY",IF(B1272=0,"EMPTY",B1272*Setup!$B$22*Setup!$G$6*Setup!$D$11))</f>
        <v>EMPTY</v>
      </c>
      <c r="E1272" s="31">
        <f>IF(Setup!$H$2=0,-1,IF(A1272=0,-1,A1272*1/(Setup!$G$6)))</f>
        <v>-1</v>
      </c>
      <c r="F1272" s="31"/>
    </row>
    <row r="1273" spans="3:6" ht="15.75" x14ac:dyDescent="0.25">
      <c r="C1273" s="29" t="str">
        <f>IF(B1273=0,"EMPTY",Setup!$D$11*((PI()*2*Setup!$B$22*A1273*B1273)/33000))</f>
        <v>EMPTY</v>
      </c>
      <c r="D1273" s="30" t="str">
        <f>IF(Setup!$H$2=0,"EMPTY",IF(B1273=0,"EMPTY",B1273*Setup!$B$22*Setup!$G$6*Setup!$D$11))</f>
        <v>EMPTY</v>
      </c>
      <c r="E1273" s="31">
        <f>IF(Setup!$H$2=0,-1,IF(A1273=0,-1,A1273*1/(Setup!$G$6)))</f>
        <v>-1</v>
      </c>
      <c r="F1273" s="31"/>
    </row>
    <row r="1274" spans="3:6" ht="15.75" x14ac:dyDescent="0.25">
      <c r="C1274" s="29" t="str">
        <f>IF(B1274=0,"EMPTY",Setup!$D$11*((PI()*2*Setup!$B$22*A1274*B1274)/33000))</f>
        <v>EMPTY</v>
      </c>
      <c r="D1274" s="30" t="str">
        <f>IF(Setup!$H$2=0,"EMPTY",IF(B1274=0,"EMPTY",B1274*Setup!$B$22*Setup!$G$6*Setup!$D$11))</f>
        <v>EMPTY</v>
      </c>
      <c r="E1274" s="31">
        <f>IF(Setup!$H$2=0,-1,IF(A1274=0,-1,A1274*1/(Setup!$G$6)))</f>
        <v>-1</v>
      </c>
      <c r="F1274" s="31"/>
    </row>
    <row r="1275" spans="3:6" ht="15.75" x14ac:dyDescent="0.25">
      <c r="C1275" s="29" t="str">
        <f>IF(B1275=0,"EMPTY",Setup!$D$11*((PI()*2*Setup!$B$22*A1275*B1275)/33000))</f>
        <v>EMPTY</v>
      </c>
      <c r="D1275" s="30" t="str">
        <f>IF(Setup!$H$2=0,"EMPTY",IF(B1275=0,"EMPTY",B1275*Setup!$B$22*Setup!$G$6*Setup!$D$11))</f>
        <v>EMPTY</v>
      </c>
      <c r="E1275" s="31">
        <f>IF(Setup!$H$2=0,-1,IF(A1275=0,-1,A1275*1/(Setup!$G$6)))</f>
        <v>-1</v>
      </c>
      <c r="F1275" s="31"/>
    </row>
    <row r="1276" spans="3:6" ht="15.75" x14ac:dyDescent="0.25">
      <c r="C1276" s="29" t="str">
        <f>IF(B1276=0,"EMPTY",Setup!$D$11*((PI()*2*Setup!$B$22*A1276*B1276)/33000))</f>
        <v>EMPTY</v>
      </c>
      <c r="D1276" s="30" t="str">
        <f>IF(Setup!$H$2=0,"EMPTY",IF(B1276=0,"EMPTY",B1276*Setup!$B$22*Setup!$G$6*Setup!$D$11))</f>
        <v>EMPTY</v>
      </c>
      <c r="E1276" s="31">
        <f>IF(Setup!$H$2=0,-1,IF(A1276=0,-1,A1276*1/(Setup!$G$6)))</f>
        <v>-1</v>
      </c>
      <c r="F1276" s="31"/>
    </row>
    <row r="1277" spans="3:6" ht="15.75" x14ac:dyDescent="0.25">
      <c r="C1277" s="29" t="str">
        <f>IF(B1277=0,"EMPTY",Setup!$D$11*((PI()*2*Setup!$B$22*A1277*B1277)/33000))</f>
        <v>EMPTY</v>
      </c>
      <c r="D1277" s="30" t="str">
        <f>IF(Setup!$H$2=0,"EMPTY",IF(B1277=0,"EMPTY",B1277*Setup!$B$22*Setup!$G$6*Setup!$D$11))</f>
        <v>EMPTY</v>
      </c>
      <c r="E1277" s="31">
        <f>IF(Setup!$H$2=0,-1,IF(A1277=0,-1,A1277*1/(Setup!$G$6)))</f>
        <v>-1</v>
      </c>
      <c r="F1277" s="31"/>
    </row>
    <row r="1278" spans="3:6" ht="15.75" x14ac:dyDescent="0.25">
      <c r="C1278" s="29" t="str">
        <f>IF(B1278=0,"EMPTY",Setup!$D$11*((PI()*2*Setup!$B$22*A1278*B1278)/33000))</f>
        <v>EMPTY</v>
      </c>
      <c r="D1278" s="30" t="str">
        <f>IF(Setup!$H$2=0,"EMPTY",IF(B1278=0,"EMPTY",B1278*Setup!$B$22*Setup!$G$6*Setup!$D$11))</f>
        <v>EMPTY</v>
      </c>
      <c r="E1278" s="31">
        <f>IF(Setup!$H$2=0,-1,IF(A1278=0,-1,A1278*1/(Setup!$G$6)))</f>
        <v>-1</v>
      </c>
      <c r="F1278" s="31"/>
    </row>
    <row r="1279" spans="3:6" ht="15.75" x14ac:dyDescent="0.25">
      <c r="C1279" s="29" t="str">
        <f>IF(B1279=0,"EMPTY",Setup!$D$11*((PI()*2*Setup!$B$22*A1279*B1279)/33000))</f>
        <v>EMPTY</v>
      </c>
      <c r="D1279" s="30" t="str">
        <f>IF(Setup!$H$2=0,"EMPTY",IF(B1279=0,"EMPTY",B1279*Setup!$B$22*Setup!$G$6*Setup!$D$11))</f>
        <v>EMPTY</v>
      </c>
      <c r="E1279" s="31">
        <f>IF(Setup!$H$2=0,-1,IF(A1279=0,-1,A1279*1/(Setup!$G$6)))</f>
        <v>-1</v>
      </c>
      <c r="F1279" s="31"/>
    </row>
    <row r="1280" spans="3:6" ht="15.75" x14ac:dyDescent="0.25">
      <c r="C1280" s="29" t="str">
        <f>IF(B1280=0,"EMPTY",Setup!$D$11*((PI()*2*Setup!$B$22*A1280*B1280)/33000))</f>
        <v>EMPTY</v>
      </c>
      <c r="D1280" s="30" t="str">
        <f>IF(Setup!$H$2=0,"EMPTY",IF(B1280=0,"EMPTY",B1280*Setup!$B$22*Setup!$G$6*Setup!$D$11))</f>
        <v>EMPTY</v>
      </c>
      <c r="E1280" s="31">
        <f>IF(Setup!$H$2=0,-1,IF(A1280=0,-1,A1280*1/(Setup!$G$6)))</f>
        <v>-1</v>
      </c>
      <c r="F1280" s="31"/>
    </row>
    <row r="1281" spans="3:6" ht="15.75" x14ac:dyDescent="0.25">
      <c r="C1281" s="29" t="str">
        <f>IF(B1281=0,"EMPTY",Setup!$D$11*((PI()*2*Setup!$B$22*A1281*B1281)/33000))</f>
        <v>EMPTY</v>
      </c>
      <c r="D1281" s="30" t="str">
        <f>IF(Setup!$H$2=0,"EMPTY",IF(B1281=0,"EMPTY",B1281*Setup!$B$22*Setup!$G$6*Setup!$D$11))</f>
        <v>EMPTY</v>
      </c>
      <c r="E1281" s="31">
        <f>IF(Setup!$H$2=0,-1,IF(A1281=0,-1,A1281*1/(Setup!$G$6)))</f>
        <v>-1</v>
      </c>
      <c r="F1281" s="31"/>
    </row>
    <row r="1282" spans="3:6" ht="15.75" x14ac:dyDescent="0.25">
      <c r="C1282" s="29" t="str">
        <f>IF(B1282=0,"EMPTY",Setup!$D$11*((PI()*2*Setup!$B$22*A1282*B1282)/33000))</f>
        <v>EMPTY</v>
      </c>
      <c r="D1282" s="30" t="str">
        <f>IF(Setup!$H$2=0,"EMPTY",IF(B1282=0,"EMPTY",B1282*Setup!$B$22*Setup!$G$6*Setup!$D$11))</f>
        <v>EMPTY</v>
      </c>
      <c r="E1282" s="31">
        <f>IF(Setup!$H$2=0,-1,IF(A1282=0,-1,A1282*1/(Setup!$G$6)))</f>
        <v>-1</v>
      </c>
      <c r="F1282" s="31"/>
    </row>
    <row r="1283" spans="3:6" ht="15.75" x14ac:dyDescent="0.25">
      <c r="C1283" s="29" t="str">
        <f>IF(B1283=0,"EMPTY",Setup!$D$11*((PI()*2*Setup!$B$22*A1283*B1283)/33000))</f>
        <v>EMPTY</v>
      </c>
      <c r="D1283" s="30" t="str">
        <f>IF(Setup!$H$2=0,"EMPTY",IF(B1283=0,"EMPTY",B1283*Setup!$B$22*Setup!$G$6*Setup!$D$11))</f>
        <v>EMPTY</v>
      </c>
      <c r="E1283" s="31">
        <f>IF(Setup!$H$2=0,-1,IF(A1283=0,-1,A1283*1/(Setup!$G$6)))</f>
        <v>-1</v>
      </c>
      <c r="F1283" s="31"/>
    </row>
    <row r="1284" spans="3:6" ht="15.75" x14ac:dyDescent="0.25">
      <c r="C1284" s="29" t="str">
        <f>IF(B1284=0,"EMPTY",Setup!$D$11*((PI()*2*Setup!$B$22*A1284*B1284)/33000))</f>
        <v>EMPTY</v>
      </c>
      <c r="D1284" s="30" t="str">
        <f>IF(Setup!$H$2=0,"EMPTY",IF(B1284=0,"EMPTY",B1284*Setup!$B$22*Setup!$G$6*Setup!$D$11))</f>
        <v>EMPTY</v>
      </c>
      <c r="E1284" s="31">
        <f>IF(Setup!$H$2=0,-1,IF(A1284=0,-1,A1284*1/(Setup!$G$6)))</f>
        <v>-1</v>
      </c>
      <c r="F1284" s="31"/>
    </row>
    <row r="1285" spans="3:6" ht="15.75" x14ac:dyDescent="0.25">
      <c r="C1285" s="29" t="str">
        <f>IF(B1285=0,"EMPTY",Setup!$D$11*((PI()*2*Setup!$B$22*A1285*B1285)/33000))</f>
        <v>EMPTY</v>
      </c>
      <c r="D1285" s="30" t="str">
        <f>IF(Setup!$H$2=0,"EMPTY",IF(B1285=0,"EMPTY",B1285*Setup!$B$22*Setup!$G$6*Setup!$D$11))</f>
        <v>EMPTY</v>
      </c>
      <c r="E1285" s="31">
        <f>IF(Setup!$H$2=0,-1,IF(A1285=0,-1,A1285*1/(Setup!$G$6)))</f>
        <v>-1</v>
      </c>
      <c r="F1285" s="31"/>
    </row>
    <row r="1286" spans="3:6" ht="15.75" x14ac:dyDescent="0.25">
      <c r="C1286" s="29" t="str">
        <f>IF(B1286=0,"EMPTY",Setup!$D$11*((PI()*2*Setup!$B$22*A1286*B1286)/33000))</f>
        <v>EMPTY</v>
      </c>
      <c r="D1286" s="30" t="str">
        <f>IF(Setup!$H$2=0,"EMPTY",IF(B1286=0,"EMPTY",B1286*Setup!$B$22*Setup!$G$6*Setup!$D$11))</f>
        <v>EMPTY</v>
      </c>
      <c r="E1286" s="31">
        <f>IF(Setup!$H$2=0,-1,IF(A1286=0,-1,A1286*1/(Setup!$G$6)))</f>
        <v>-1</v>
      </c>
      <c r="F1286" s="31"/>
    </row>
    <row r="1287" spans="3:6" ht="15.75" x14ac:dyDescent="0.25">
      <c r="C1287" s="29" t="str">
        <f>IF(B1287=0,"EMPTY",Setup!$D$11*((PI()*2*Setup!$B$22*A1287*B1287)/33000))</f>
        <v>EMPTY</v>
      </c>
      <c r="D1287" s="30" t="str">
        <f>IF(Setup!$H$2=0,"EMPTY",IF(B1287=0,"EMPTY",B1287*Setup!$B$22*Setup!$G$6*Setup!$D$11))</f>
        <v>EMPTY</v>
      </c>
      <c r="E1287" s="31">
        <f>IF(Setup!$H$2=0,-1,IF(A1287=0,-1,A1287*1/(Setup!$G$6)))</f>
        <v>-1</v>
      </c>
      <c r="F1287" s="31"/>
    </row>
    <row r="1288" spans="3:6" ht="15.75" x14ac:dyDescent="0.25">
      <c r="C1288" s="29" t="str">
        <f>IF(B1288=0,"EMPTY",Setup!$D$11*((PI()*2*Setup!$B$22*A1288*B1288)/33000))</f>
        <v>EMPTY</v>
      </c>
      <c r="D1288" s="30" t="str">
        <f>IF(Setup!$H$2=0,"EMPTY",IF(B1288=0,"EMPTY",B1288*Setup!$B$22*Setup!$G$6*Setup!$D$11))</f>
        <v>EMPTY</v>
      </c>
      <c r="E1288" s="31">
        <f>IF(Setup!$H$2=0,-1,IF(A1288=0,-1,A1288*1/(Setup!$G$6)))</f>
        <v>-1</v>
      </c>
      <c r="F1288" s="31"/>
    </row>
    <row r="1289" spans="3:6" ht="15.75" x14ac:dyDescent="0.25">
      <c r="C1289" s="29" t="str">
        <f>IF(B1289=0,"EMPTY",Setup!$D$11*((PI()*2*Setup!$B$22*A1289*B1289)/33000))</f>
        <v>EMPTY</v>
      </c>
      <c r="D1289" s="30" t="str">
        <f>IF(Setup!$H$2=0,"EMPTY",IF(B1289=0,"EMPTY",B1289*Setup!$B$22*Setup!$G$6*Setup!$D$11))</f>
        <v>EMPTY</v>
      </c>
      <c r="E1289" s="31">
        <f>IF(Setup!$H$2=0,-1,IF(A1289=0,-1,A1289*1/(Setup!$G$6)))</f>
        <v>-1</v>
      </c>
      <c r="F1289" s="31"/>
    </row>
    <row r="1290" spans="3:6" ht="15.75" x14ac:dyDescent="0.25">
      <c r="C1290" s="29" t="str">
        <f>IF(B1290=0,"EMPTY",Setup!$D$11*((PI()*2*Setup!$B$22*A1290*B1290)/33000))</f>
        <v>EMPTY</v>
      </c>
      <c r="D1290" s="30" t="str">
        <f>IF(Setup!$H$2=0,"EMPTY",IF(B1290=0,"EMPTY",B1290*Setup!$B$22*Setup!$G$6*Setup!$D$11))</f>
        <v>EMPTY</v>
      </c>
      <c r="E1290" s="31">
        <f>IF(Setup!$H$2=0,-1,IF(A1290=0,-1,A1290*1/(Setup!$G$6)))</f>
        <v>-1</v>
      </c>
      <c r="F1290" s="31"/>
    </row>
    <row r="1291" spans="3:6" ht="15.75" x14ac:dyDescent="0.25">
      <c r="C1291" s="29" t="str">
        <f>IF(B1291=0,"EMPTY",Setup!$D$11*((PI()*2*Setup!$B$22*A1291*B1291)/33000))</f>
        <v>EMPTY</v>
      </c>
      <c r="D1291" s="30" t="str">
        <f>IF(Setup!$H$2=0,"EMPTY",IF(B1291=0,"EMPTY",B1291*Setup!$B$22*Setup!$G$6*Setup!$D$11))</f>
        <v>EMPTY</v>
      </c>
      <c r="E1291" s="31">
        <f>IF(Setup!$H$2=0,-1,IF(A1291=0,-1,A1291*1/(Setup!$G$6)))</f>
        <v>-1</v>
      </c>
      <c r="F1291" s="31"/>
    </row>
    <row r="1292" spans="3:6" ht="15.75" x14ac:dyDescent="0.25">
      <c r="C1292" s="29" t="str">
        <f>IF(B1292=0,"EMPTY",Setup!$D$11*((PI()*2*Setup!$B$22*A1292*B1292)/33000))</f>
        <v>EMPTY</v>
      </c>
      <c r="D1292" s="30" t="str">
        <f>IF(Setup!$H$2=0,"EMPTY",IF(B1292=0,"EMPTY",B1292*Setup!$B$22*Setup!$G$6*Setup!$D$11))</f>
        <v>EMPTY</v>
      </c>
      <c r="E1292" s="31">
        <f>IF(Setup!$H$2=0,-1,IF(A1292=0,-1,A1292*1/(Setup!$G$6)))</f>
        <v>-1</v>
      </c>
      <c r="F1292" s="31"/>
    </row>
    <row r="1293" spans="3:6" ht="15.75" x14ac:dyDescent="0.25">
      <c r="C1293" s="29" t="str">
        <f>IF(B1293=0,"EMPTY",Setup!$D$11*((PI()*2*Setup!$B$22*A1293*B1293)/33000))</f>
        <v>EMPTY</v>
      </c>
      <c r="D1293" s="30" t="str">
        <f>IF(Setup!$H$2=0,"EMPTY",IF(B1293=0,"EMPTY",B1293*Setup!$B$22*Setup!$G$6*Setup!$D$11))</f>
        <v>EMPTY</v>
      </c>
      <c r="E1293" s="31">
        <f>IF(Setup!$H$2=0,-1,IF(A1293=0,-1,A1293*1/(Setup!$G$6)))</f>
        <v>-1</v>
      </c>
      <c r="F1293" s="31"/>
    </row>
    <row r="1294" spans="3:6" ht="15.75" x14ac:dyDescent="0.25">
      <c r="C1294" s="29" t="str">
        <f>IF(B1294=0,"EMPTY",Setup!$D$11*((PI()*2*Setup!$B$22*A1294*B1294)/33000))</f>
        <v>EMPTY</v>
      </c>
      <c r="D1294" s="30" t="str">
        <f>IF(Setup!$H$2=0,"EMPTY",IF(B1294=0,"EMPTY",B1294*Setup!$B$22*Setup!$G$6*Setup!$D$11))</f>
        <v>EMPTY</v>
      </c>
      <c r="E1294" s="31">
        <f>IF(Setup!$H$2=0,-1,IF(A1294=0,-1,A1294*1/(Setup!$G$6)))</f>
        <v>-1</v>
      </c>
      <c r="F1294" s="31"/>
    </row>
    <row r="1295" spans="3:6" ht="15.75" x14ac:dyDescent="0.25">
      <c r="C1295" s="29" t="str">
        <f>IF(B1295=0,"EMPTY",Setup!$D$11*((PI()*2*Setup!$B$22*A1295*B1295)/33000))</f>
        <v>EMPTY</v>
      </c>
      <c r="D1295" s="30" t="str">
        <f>IF(Setup!$H$2=0,"EMPTY",IF(B1295=0,"EMPTY",B1295*Setup!$B$22*Setup!$G$6*Setup!$D$11))</f>
        <v>EMPTY</v>
      </c>
      <c r="E1295" s="31">
        <f>IF(Setup!$H$2=0,-1,IF(A1295=0,-1,A1295*1/(Setup!$G$6)))</f>
        <v>-1</v>
      </c>
      <c r="F1295" s="31"/>
    </row>
    <row r="1296" spans="3:6" ht="15.75" x14ac:dyDescent="0.25">
      <c r="C1296" s="29" t="str">
        <f>IF(B1296=0,"EMPTY",Setup!$D$11*((PI()*2*Setup!$B$22*A1296*B1296)/33000))</f>
        <v>EMPTY</v>
      </c>
      <c r="D1296" s="30" t="str">
        <f>IF(Setup!$H$2=0,"EMPTY",IF(B1296=0,"EMPTY",B1296*Setup!$B$22*Setup!$G$6*Setup!$D$11))</f>
        <v>EMPTY</v>
      </c>
      <c r="E1296" s="31">
        <f>IF(Setup!$H$2=0,-1,IF(A1296=0,-1,A1296*1/(Setup!$G$6)))</f>
        <v>-1</v>
      </c>
      <c r="F1296" s="31"/>
    </row>
    <row r="1297" spans="3:6" ht="15.75" x14ac:dyDescent="0.25">
      <c r="C1297" s="29" t="str">
        <f>IF(B1297=0,"EMPTY",Setup!$D$11*((PI()*2*Setup!$B$22*A1297*B1297)/33000))</f>
        <v>EMPTY</v>
      </c>
      <c r="D1297" s="30" t="str">
        <f>IF(Setup!$H$2=0,"EMPTY",IF(B1297=0,"EMPTY",B1297*Setup!$B$22*Setup!$G$6*Setup!$D$11))</f>
        <v>EMPTY</v>
      </c>
      <c r="E1297" s="31">
        <f>IF(Setup!$H$2=0,-1,IF(A1297=0,-1,A1297*1/(Setup!$G$6)))</f>
        <v>-1</v>
      </c>
      <c r="F1297" s="31"/>
    </row>
    <row r="1298" spans="3:6" ht="15.75" x14ac:dyDescent="0.25">
      <c r="C1298" s="29" t="str">
        <f>IF(B1298=0,"EMPTY",Setup!$D$11*((PI()*2*Setup!$B$22*A1298*B1298)/33000))</f>
        <v>EMPTY</v>
      </c>
      <c r="D1298" s="30" t="str">
        <f>IF(Setup!$H$2=0,"EMPTY",IF(B1298=0,"EMPTY",B1298*Setup!$B$22*Setup!$G$6*Setup!$D$11))</f>
        <v>EMPTY</v>
      </c>
      <c r="E1298" s="31">
        <f>IF(Setup!$H$2=0,-1,IF(A1298=0,-1,A1298*1/(Setup!$G$6)))</f>
        <v>-1</v>
      </c>
      <c r="F1298" s="31"/>
    </row>
    <row r="1299" spans="3:6" ht="15.75" x14ac:dyDescent="0.25">
      <c r="C1299" s="29" t="str">
        <f>IF(B1299=0,"EMPTY",Setup!$D$11*((PI()*2*Setup!$B$22*A1299*B1299)/33000))</f>
        <v>EMPTY</v>
      </c>
      <c r="D1299" s="30" t="str">
        <f>IF(Setup!$H$2=0,"EMPTY",IF(B1299=0,"EMPTY",B1299*Setup!$B$22*Setup!$G$6*Setup!$D$11))</f>
        <v>EMPTY</v>
      </c>
      <c r="E1299" s="31">
        <f>IF(Setup!$H$2=0,-1,IF(A1299=0,-1,A1299*1/(Setup!$G$6)))</f>
        <v>-1</v>
      </c>
      <c r="F1299" s="31"/>
    </row>
    <row r="1300" spans="3:6" ht="15.75" x14ac:dyDescent="0.25">
      <c r="C1300" s="29" t="str">
        <f>IF(B1300=0,"EMPTY",Setup!$D$11*((PI()*2*Setup!$B$22*A1300*B1300)/33000))</f>
        <v>EMPTY</v>
      </c>
      <c r="D1300" s="30" t="str">
        <f>IF(Setup!$H$2=0,"EMPTY",IF(B1300=0,"EMPTY",B1300*Setup!$B$22*Setup!$G$6*Setup!$D$11))</f>
        <v>EMPTY</v>
      </c>
      <c r="E1300" s="31">
        <f>IF(Setup!$H$2=0,-1,IF(A1300=0,-1,A1300*1/(Setup!$G$6)))</f>
        <v>-1</v>
      </c>
      <c r="F1300" s="31"/>
    </row>
    <row r="1301" spans="3:6" ht="15.75" x14ac:dyDescent="0.25">
      <c r="C1301" s="29" t="str">
        <f>IF(B1301=0,"EMPTY",Setup!$D$11*((PI()*2*Setup!$B$22*A1301*B1301)/33000))</f>
        <v>EMPTY</v>
      </c>
      <c r="D1301" s="30" t="str">
        <f>IF(Setup!$H$2=0,"EMPTY",IF(B1301=0,"EMPTY",B1301*Setup!$B$22*Setup!$G$6*Setup!$D$11))</f>
        <v>EMPTY</v>
      </c>
      <c r="E1301" s="31">
        <f>IF(Setup!$H$2=0,-1,IF(A1301=0,-1,A1301*1/(Setup!$G$6)))</f>
        <v>-1</v>
      </c>
      <c r="F1301" s="31"/>
    </row>
    <row r="1302" spans="3:6" ht="15.75" x14ac:dyDescent="0.25">
      <c r="C1302" s="29" t="str">
        <f>IF(B1302=0,"EMPTY",Setup!$D$11*((PI()*2*Setup!$B$22*A1302*B1302)/33000))</f>
        <v>EMPTY</v>
      </c>
      <c r="D1302" s="30" t="str">
        <f>IF(Setup!$H$2=0,"EMPTY",IF(B1302=0,"EMPTY",B1302*Setup!$B$22*Setup!$G$6*Setup!$D$11))</f>
        <v>EMPTY</v>
      </c>
      <c r="E1302" s="31">
        <f>IF(Setup!$H$2=0,-1,IF(A1302=0,-1,A1302*1/(Setup!$G$6)))</f>
        <v>-1</v>
      </c>
      <c r="F1302" s="31"/>
    </row>
    <row r="1303" spans="3:6" ht="15.75" x14ac:dyDescent="0.25">
      <c r="C1303" s="29" t="str">
        <f>IF(B1303=0,"EMPTY",Setup!$D$11*((PI()*2*Setup!$B$22*A1303*B1303)/33000))</f>
        <v>EMPTY</v>
      </c>
      <c r="D1303" s="30" t="str">
        <f>IF(Setup!$H$2=0,"EMPTY",IF(B1303=0,"EMPTY",B1303*Setup!$B$22*Setup!$G$6*Setup!$D$11))</f>
        <v>EMPTY</v>
      </c>
      <c r="E1303" s="31">
        <f>IF(Setup!$H$2=0,-1,IF(A1303=0,-1,A1303*1/(Setup!$G$6)))</f>
        <v>-1</v>
      </c>
      <c r="F1303" s="31"/>
    </row>
    <row r="1304" spans="3:6" ht="15.75" x14ac:dyDescent="0.25">
      <c r="C1304" s="29" t="str">
        <f>IF(B1304=0,"EMPTY",Setup!$D$11*((PI()*2*Setup!$B$22*A1304*B1304)/33000))</f>
        <v>EMPTY</v>
      </c>
      <c r="D1304" s="30" t="str">
        <f>IF(Setup!$H$2=0,"EMPTY",IF(B1304=0,"EMPTY",B1304*Setup!$B$22*Setup!$G$6*Setup!$D$11))</f>
        <v>EMPTY</v>
      </c>
      <c r="E1304" s="31">
        <f>IF(Setup!$H$2=0,-1,IF(A1304=0,-1,A1304*1/(Setup!$G$6)))</f>
        <v>-1</v>
      </c>
      <c r="F1304" s="31"/>
    </row>
    <row r="1305" spans="3:6" ht="15.75" x14ac:dyDescent="0.25">
      <c r="C1305" s="29" t="str">
        <f>IF(B1305=0,"EMPTY",Setup!$D$11*((PI()*2*Setup!$B$22*A1305*B1305)/33000))</f>
        <v>EMPTY</v>
      </c>
      <c r="D1305" s="30" t="str">
        <f>IF(Setup!$H$2=0,"EMPTY",IF(B1305=0,"EMPTY",B1305*Setup!$B$22*Setup!$G$6*Setup!$D$11))</f>
        <v>EMPTY</v>
      </c>
      <c r="E1305" s="31">
        <f>IF(Setup!$H$2=0,-1,IF(A1305=0,-1,A1305*1/(Setup!$G$6)))</f>
        <v>-1</v>
      </c>
      <c r="F1305" s="31"/>
    </row>
    <row r="1306" spans="3:6" ht="15.75" x14ac:dyDescent="0.25">
      <c r="C1306" s="29" t="str">
        <f>IF(B1306=0,"EMPTY",Setup!$D$11*((PI()*2*Setup!$B$22*A1306*B1306)/33000))</f>
        <v>EMPTY</v>
      </c>
      <c r="D1306" s="30" t="str">
        <f>IF(Setup!$H$2=0,"EMPTY",IF(B1306=0,"EMPTY",B1306*Setup!$B$22*Setup!$G$6*Setup!$D$11))</f>
        <v>EMPTY</v>
      </c>
      <c r="E1306" s="31">
        <f>IF(Setup!$H$2=0,-1,IF(A1306=0,-1,A1306*1/(Setup!$G$6)))</f>
        <v>-1</v>
      </c>
      <c r="F1306" s="31"/>
    </row>
    <row r="1307" spans="3:6" ht="15.75" x14ac:dyDescent="0.25">
      <c r="C1307" s="29" t="str">
        <f>IF(B1307=0,"EMPTY",Setup!$D$11*((PI()*2*Setup!$B$22*A1307*B1307)/33000))</f>
        <v>EMPTY</v>
      </c>
      <c r="D1307" s="30" t="str">
        <f>IF(Setup!$H$2=0,"EMPTY",IF(B1307=0,"EMPTY",B1307*Setup!$B$22*Setup!$G$6*Setup!$D$11))</f>
        <v>EMPTY</v>
      </c>
      <c r="E1307" s="31">
        <f>IF(Setup!$H$2=0,-1,IF(A1307=0,-1,A1307*1/(Setup!$G$6)))</f>
        <v>-1</v>
      </c>
      <c r="F1307" s="31"/>
    </row>
    <row r="1308" spans="3:6" ht="15.75" x14ac:dyDescent="0.25">
      <c r="C1308" s="29" t="str">
        <f>IF(B1308=0,"EMPTY",Setup!$D$11*((PI()*2*Setup!$B$22*A1308*B1308)/33000))</f>
        <v>EMPTY</v>
      </c>
      <c r="D1308" s="30" t="str">
        <f>IF(Setup!$H$2=0,"EMPTY",IF(B1308=0,"EMPTY",B1308*Setup!$B$22*Setup!$G$6*Setup!$D$11))</f>
        <v>EMPTY</v>
      </c>
      <c r="E1308" s="31">
        <f>IF(Setup!$H$2=0,-1,IF(A1308=0,-1,A1308*1/(Setup!$G$6)))</f>
        <v>-1</v>
      </c>
      <c r="F1308" s="31"/>
    </row>
    <row r="1309" spans="3:6" ht="15.75" x14ac:dyDescent="0.25">
      <c r="C1309" s="29" t="str">
        <f>IF(B1309=0,"EMPTY",Setup!$D$11*((PI()*2*Setup!$B$22*A1309*B1309)/33000))</f>
        <v>EMPTY</v>
      </c>
      <c r="D1309" s="30" t="str">
        <f>IF(Setup!$H$2=0,"EMPTY",IF(B1309=0,"EMPTY",B1309*Setup!$B$22*Setup!$G$6*Setup!$D$11))</f>
        <v>EMPTY</v>
      </c>
      <c r="E1309" s="31">
        <f>IF(Setup!$H$2=0,-1,IF(A1309=0,-1,A1309*1/(Setup!$G$6)))</f>
        <v>-1</v>
      </c>
      <c r="F1309" s="31"/>
    </row>
    <row r="1310" spans="3:6" ht="15.75" x14ac:dyDescent="0.25">
      <c r="C1310" s="29" t="str">
        <f>IF(B1310=0,"EMPTY",Setup!$D$11*((PI()*2*Setup!$B$22*A1310*B1310)/33000))</f>
        <v>EMPTY</v>
      </c>
      <c r="D1310" s="30" t="str">
        <f>IF(Setup!$H$2=0,"EMPTY",IF(B1310=0,"EMPTY",B1310*Setup!$B$22*Setup!$G$6*Setup!$D$11))</f>
        <v>EMPTY</v>
      </c>
      <c r="E1310" s="31">
        <f>IF(Setup!$H$2=0,-1,IF(A1310=0,-1,A1310*1/(Setup!$G$6)))</f>
        <v>-1</v>
      </c>
      <c r="F1310" s="31"/>
    </row>
    <row r="1311" spans="3:6" ht="15.75" x14ac:dyDescent="0.25">
      <c r="C1311" s="29" t="str">
        <f>IF(B1311=0,"EMPTY",Setup!$D$11*((PI()*2*Setup!$B$22*A1311*B1311)/33000))</f>
        <v>EMPTY</v>
      </c>
      <c r="D1311" s="30" t="str">
        <f>IF(Setup!$H$2=0,"EMPTY",IF(B1311=0,"EMPTY",B1311*Setup!$B$22*Setup!$G$6*Setup!$D$11))</f>
        <v>EMPTY</v>
      </c>
      <c r="E1311" s="31">
        <f>IF(Setup!$H$2=0,-1,IF(A1311=0,-1,A1311*1/(Setup!$G$6)))</f>
        <v>-1</v>
      </c>
      <c r="F1311" s="31"/>
    </row>
    <row r="1312" spans="3:6" ht="15.75" x14ac:dyDescent="0.25">
      <c r="C1312" s="29" t="str">
        <f>IF(B1312=0,"EMPTY",Setup!$D$11*((PI()*2*Setup!$B$22*A1312*B1312)/33000))</f>
        <v>EMPTY</v>
      </c>
      <c r="D1312" s="30" t="str">
        <f>IF(Setup!$H$2=0,"EMPTY",IF(B1312=0,"EMPTY",B1312*Setup!$B$22*Setup!$G$6*Setup!$D$11))</f>
        <v>EMPTY</v>
      </c>
      <c r="E1312" s="31">
        <f>IF(Setup!$H$2=0,-1,IF(A1312=0,-1,A1312*1/(Setup!$G$6)))</f>
        <v>-1</v>
      </c>
      <c r="F1312" s="31"/>
    </row>
    <row r="1313" spans="3:6" ht="15.75" x14ac:dyDescent="0.25">
      <c r="C1313" s="29" t="str">
        <f>IF(B1313=0,"EMPTY",Setup!$D$11*((PI()*2*Setup!$B$22*A1313*B1313)/33000))</f>
        <v>EMPTY</v>
      </c>
      <c r="D1313" s="30" t="str">
        <f>IF(Setup!$H$2=0,"EMPTY",IF(B1313=0,"EMPTY",B1313*Setup!$B$22*Setup!$G$6*Setup!$D$11))</f>
        <v>EMPTY</v>
      </c>
      <c r="E1313" s="31">
        <f>IF(Setup!$H$2=0,-1,IF(A1313=0,-1,A1313*1/(Setup!$G$6)))</f>
        <v>-1</v>
      </c>
      <c r="F1313" s="31"/>
    </row>
    <row r="1314" spans="3:6" ht="15.75" x14ac:dyDescent="0.25">
      <c r="C1314" s="29" t="str">
        <f>IF(B1314=0,"EMPTY",Setup!$D$11*((PI()*2*Setup!$B$22*A1314*B1314)/33000))</f>
        <v>EMPTY</v>
      </c>
      <c r="D1314" s="30" t="str">
        <f>IF(Setup!$H$2=0,"EMPTY",IF(B1314=0,"EMPTY",B1314*Setup!$B$22*Setup!$G$6*Setup!$D$11))</f>
        <v>EMPTY</v>
      </c>
      <c r="E1314" s="31">
        <f>IF(Setup!$H$2=0,-1,IF(A1314=0,-1,A1314*1/(Setup!$G$6)))</f>
        <v>-1</v>
      </c>
      <c r="F1314" s="31"/>
    </row>
    <row r="1315" spans="3:6" ht="15.75" x14ac:dyDescent="0.25">
      <c r="C1315" s="29" t="str">
        <f>IF(B1315=0,"EMPTY",Setup!$D$11*((PI()*2*Setup!$B$22*A1315*B1315)/33000))</f>
        <v>EMPTY</v>
      </c>
      <c r="D1315" s="30" t="str">
        <f>IF(Setup!$H$2=0,"EMPTY",IF(B1315=0,"EMPTY",B1315*Setup!$B$22*Setup!$G$6*Setup!$D$11))</f>
        <v>EMPTY</v>
      </c>
      <c r="E1315" s="31">
        <f>IF(Setup!$H$2=0,-1,IF(A1315=0,-1,A1315*1/(Setup!$G$6)))</f>
        <v>-1</v>
      </c>
      <c r="F1315" s="31"/>
    </row>
    <row r="1316" spans="3:6" ht="15.75" x14ac:dyDescent="0.25">
      <c r="C1316" s="29" t="str">
        <f>IF(B1316=0,"EMPTY",Setup!$D$11*((PI()*2*Setup!$B$22*A1316*B1316)/33000))</f>
        <v>EMPTY</v>
      </c>
      <c r="D1316" s="30" t="str">
        <f>IF(Setup!$H$2=0,"EMPTY",IF(B1316=0,"EMPTY",B1316*Setup!$B$22*Setup!$G$6*Setup!$D$11))</f>
        <v>EMPTY</v>
      </c>
      <c r="E1316" s="31">
        <f>IF(Setup!$H$2=0,-1,IF(A1316=0,-1,A1316*1/(Setup!$G$6)))</f>
        <v>-1</v>
      </c>
      <c r="F1316" s="31"/>
    </row>
    <row r="1317" spans="3:6" ht="15.75" x14ac:dyDescent="0.25">
      <c r="C1317" s="29" t="str">
        <f>IF(B1317=0,"EMPTY",Setup!$D$11*((PI()*2*Setup!$B$22*A1317*B1317)/33000))</f>
        <v>EMPTY</v>
      </c>
      <c r="D1317" s="30" t="str">
        <f>IF(Setup!$H$2=0,"EMPTY",IF(B1317=0,"EMPTY",B1317*Setup!$B$22*Setup!$G$6*Setup!$D$11))</f>
        <v>EMPTY</v>
      </c>
      <c r="E1317" s="31">
        <f>IF(Setup!$H$2=0,-1,IF(A1317=0,-1,A1317*1/(Setup!$G$6)))</f>
        <v>-1</v>
      </c>
      <c r="F1317" s="31"/>
    </row>
    <row r="1318" spans="3:6" ht="15.75" x14ac:dyDescent="0.25">
      <c r="C1318" s="29" t="str">
        <f>IF(B1318=0,"EMPTY",Setup!$D$11*((PI()*2*Setup!$B$22*A1318*B1318)/33000))</f>
        <v>EMPTY</v>
      </c>
      <c r="D1318" s="30" t="str">
        <f>IF(Setup!$H$2=0,"EMPTY",IF(B1318=0,"EMPTY",B1318*Setup!$B$22*Setup!$G$6*Setup!$D$11))</f>
        <v>EMPTY</v>
      </c>
      <c r="E1318" s="31">
        <f>IF(Setup!$H$2=0,-1,IF(A1318=0,-1,A1318*1/(Setup!$G$6)))</f>
        <v>-1</v>
      </c>
      <c r="F1318" s="31"/>
    </row>
    <row r="1319" spans="3:6" ht="15.75" x14ac:dyDescent="0.25">
      <c r="C1319" s="29" t="str">
        <f>IF(B1319=0,"EMPTY",Setup!$D$11*((PI()*2*Setup!$B$22*A1319*B1319)/33000))</f>
        <v>EMPTY</v>
      </c>
      <c r="D1319" s="30" t="str">
        <f>IF(Setup!$H$2=0,"EMPTY",IF(B1319=0,"EMPTY",B1319*Setup!$B$22*Setup!$G$6*Setup!$D$11))</f>
        <v>EMPTY</v>
      </c>
      <c r="E1319" s="31">
        <f>IF(Setup!$H$2=0,-1,IF(A1319=0,-1,A1319*1/(Setup!$G$6)))</f>
        <v>-1</v>
      </c>
      <c r="F1319" s="31"/>
    </row>
    <row r="1320" spans="3:6" ht="15.75" x14ac:dyDescent="0.25">
      <c r="C1320" s="29" t="str">
        <f>IF(B1320=0,"EMPTY",Setup!$D$11*((PI()*2*Setup!$B$22*A1320*B1320)/33000))</f>
        <v>EMPTY</v>
      </c>
      <c r="D1320" s="30" t="str">
        <f>IF(Setup!$H$2=0,"EMPTY",IF(B1320=0,"EMPTY",B1320*Setup!$B$22*Setup!$G$6*Setup!$D$11))</f>
        <v>EMPTY</v>
      </c>
      <c r="E1320" s="31">
        <f>IF(Setup!$H$2=0,-1,IF(A1320=0,-1,A1320*1/(Setup!$G$6)))</f>
        <v>-1</v>
      </c>
      <c r="F1320" s="31"/>
    </row>
    <row r="1321" spans="3:6" ht="15.75" x14ac:dyDescent="0.25">
      <c r="C1321" s="29" t="str">
        <f>IF(B1321=0,"EMPTY",Setup!$D$11*((PI()*2*Setup!$B$22*A1321*B1321)/33000))</f>
        <v>EMPTY</v>
      </c>
      <c r="D1321" s="30" t="str">
        <f>IF(Setup!$H$2=0,"EMPTY",IF(B1321=0,"EMPTY",B1321*Setup!$B$22*Setup!$G$6*Setup!$D$11))</f>
        <v>EMPTY</v>
      </c>
      <c r="E1321" s="31">
        <f>IF(Setup!$H$2=0,-1,IF(A1321=0,-1,A1321*1/(Setup!$G$6)))</f>
        <v>-1</v>
      </c>
      <c r="F1321" s="31"/>
    </row>
    <row r="1322" spans="3:6" ht="15.75" x14ac:dyDescent="0.25">
      <c r="C1322" s="29" t="str">
        <f>IF(B1322=0,"EMPTY",Setup!$D$11*((PI()*2*Setup!$B$22*A1322*B1322)/33000))</f>
        <v>EMPTY</v>
      </c>
      <c r="D1322" s="30" t="str">
        <f>IF(Setup!$H$2=0,"EMPTY",IF(B1322=0,"EMPTY",B1322*Setup!$B$22*Setup!$G$6*Setup!$D$11))</f>
        <v>EMPTY</v>
      </c>
      <c r="E1322" s="31">
        <f>IF(Setup!$H$2=0,-1,IF(A1322=0,-1,A1322*1/(Setup!$G$6)))</f>
        <v>-1</v>
      </c>
      <c r="F1322" s="31"/>
    </row>
    <row r="1323" spans="3:6" ht="15.75" x14ac:dyDescent="0.25">
      <c r="C1323" s="29" t="str">
        <f>IF(B1323=0,"EMPTY",Setup!$D$11*((PI()*2*Setup!$B$22*A1323*B1323)/33000))</f>
        <v>EMPTY</v>
      </c>
      <c r="D1323" s="30" t="str">
        <f>IF(Setup!$H$2=0,"EMPTY",IF(B1323=0,"EMPTY",B1323*Setup!$B$22*Setup!$G$6*Setup!$D$11))</f>
        <v>EMPTY</v>
      </c>
      <c r="E1323" s="31">
        <f>IF(Setup!$H$2=0,-1,IF(A1323=0,-1,A1323*1/(Setup!$G$6)))</f>
        <v>-1</v>
      </c>
      <c r="F1323" s="31"/>
    </row>
    <row r="1324" spans="3:6" ht="15.75" x14ac:dyDescent="0.25">
      <c r="C1324" s="29" t="str">
        <f>IF(B1324=0,"EMPTY",Setup!$D$11*((PI()*2*Setup!$B$22*A1324*B1324)/33000))</f>
        <v>EMPTY</v>
      </c>
      <c r="D1324" s="30" t="str">
        <f>IF(Setup!$H$2=0,"EMPTY",IF(B1324=0,"EMPTY",B1324*Setup!$B$22*Setup!$G$6*Setup!$D$11))</f>
        <v>EMPTY</v>
      </c>
      <c r="E1324" s="31">
        <f>IF(Setup!$H$2=0,-1,IF(A1324=0,-1,A1324*1/(Setup!$G$6)))</f>
        <v>-1</v>
      </c>
      <c r="F1324" s="31"/>
    </row>
    <row r="1325" spans="3:6" ht="15.75" x14ac:dyDescent="0.25">
      <c r="C1325" s="29" t="str">
        <f>IF(B1325=0,"EMPTY",Setup!$D$11*((PI()*2*Setup!$B$22*A1325*B1325)/33000))</f>
        <v>EMPTY</v>
      </c>
      <c r="D1325" s="30" t="str">
        <f>IF(Setup!$H$2=0,"EMPTY",IF(B1325=0,"EMPTY",B1325*Setup!$B$22*Setup!$G$6*Setup!$D$11))</f>
        <v>EMPTY</v>
      </c>
      <c r="E1325" s="31">
        <f>IF(Setup!$H$2=0,-1,IF(A1325=0,-1,A1325*1/(Setup!$G$6)))</f>
        <v>-1</v>
      </c>
      <c r="F1325" s="31"/>
    </row>
    <row r="1326" spans="3:6" ht="15.75" x14ac:dyDescent="0.25">
      <c r="C1326" s="29" t="str">
        <f>IF(B1326=0,"EMPTY",Setup!$D$11*((PI()*2*Setup!$B$22*A1326*B1326)/33000))</f>
        <v>EMPTY</v>
      </c>
      <c r="D1326" s="30" t="str">
        <f>IF(Setup!$H$2=0,"EMPTY",IF(B1326=0,"EMPTY",B1326*Setup!$B$22*Setup!$G$6*Setup!$D$11))</f>
        <v>EMPTY</v>
      </c>
      <c r="E1326" s="31">
        <f>IF(Setup!$H$2=0,-1,IF(A1326=0,-1,A1326*1/(Setup!$G$6)))</f>
        <v>-1</v>
      </c>
      <c r="F1326" s="31"/>
    </row>
    <row r="1327" spans="3:6" ht="15.75" x14ac:dyDescent="0.25">
      <c r="C1327" s="29" t="str">
        <f>IF(B1327=0,"EMPTY",Setup!$D$11*((PI()*2*Setup!$B$22*A1327*B1327)/33000))</f>
        <v>EMPTY</v>
      </c>
      <c r="D1327" s="30" t="str">
        <f>IF(Setup!$H$2=0,"EMPTY",IF(B1327=0,"EMPTY",B1327*Setup!$B$22*Setup!$G$6*Setup!$D$11))</f>
        <v>EMPTY</v>
      </c>
      <c r="E1327" s="31">
        <f>IF(Setup!$H$2=0,-1,IF(A1327=0,-1,A1327*1/(Setup!$G$6)))</f>
        <v>-1</v>
      </c>
      <c r="F1327" s="31"/>
    </row>
    <row r="1328" spans="3:6" ht="15.75" x14ac:dyDescent="0.25">
      <c r="C1328" s="29" t="str">
        <f>IF(B1328=0,"EMPTY",Setup!$D$11*((PI()*2*Setup!$B$22*A1328*B1328)/33000))</f>
        <v>EMPTY</v>
      </c>
      <c r="D1328" s="30" t="str">
        <f>IF(Setup!$H$2=0,"EMPTY",IF(B1328=0,"EMPTY",B1328*Setup!$B$22*Setup!$G$6*Setup!$D$11))</f>
        <v>EMPTY</v>
      </c>
      <c r="E1328" s="31">
        <f>IF(Setup!$H$2=0,-1,IF(A1328=0,-1,A1328*1/(Setup!$G$6)))</f>
        <v>-1</v>
      </c>
      <c r="F1328" s="31"/>
    </row>
    <row r="1329" spans="3:6" ht="15.75" x14ac:dyDescent="0.25">
      <c r="C1329" s="29" t="str">
        <f>IF(B1329=0,"EMPTY",Setup!$D$11*((PI()*2*Setup!$B$22*A1329*B1329)/33000))</f>
        <v>EMPTY</v>
      </c>
      <c r="D1329" s="30" t="str">
        <f>IF(Setup!$H$2=0,"EMPTY",IF(B1329=0,"EMPTY",B1329*Setup!$B$22*Setup!$G$6*Setup!$D$11))</f>
        <v>EMPTY</v>
      </c>
      <c r="E1329" s="31">
        <f>IF(Setup!$H$2=0,-1,IF(A1329=0,-1,A1329*1/(Setup!$G$6)))</f>
        <v>-1</v>
      </c>
      <c r="F1329" s="31"/>
    </row>
    <row r="1330" spans="3:6" ht="15.75" x14ac:dyDescent="0.25">
      <c r="C1330" s="29" t="str">
        <f>IF(B1330=0,"EMPTY",Setup!$D$11*((PI()*2*Setup!$B$22*A1330*B1330)/33000))</f>
        <v>EMPTY</v>
      </c>
      <c r="D1330" s="30" t="str">
        <f>IF(Setup!$H$2=0,"EMPTY",IF(B1330=0,"EMPTY",B1330*Setup!$B$22*Setup!$G$6*Setup!$D$11))</f>
        <v>EMPTY</v>
      </c>
      <c r="E1330" s="31">
        <f>IF(Setup!$H$2=0,-1,IF(A1330=0,-1,A1330*1/(Setup!$G$6)))</f>
        <v>-1</v>
      </c>
      <c r="F1330" s="31"/>
    </row>
    <row r="1331" spans="3:6" ht="15.75" x14ac:dyDescent="0.25">
      <c r="C1331" s="29" t="str">
        <f>IF(B1331=0,"EMPTY",Setup!$D$11*((PI()*2*Setup!$B$22*A1331*B1331)/33000))</f>
        <v>EMPTY</v>
      </c>
      <c r="D1331" s="30" t="str">
        <f>IF(Setup!$H$2=0,"EMPTY",IF(B1331=0,"EMPTY",B1331*Setup!$B$22*Setup!$G$6*Setup!$D$11))</f>
        <v>EMPTY</v>
      </c>
      <c r="E1331" s="31">
        <f>IF(Setup!$H$2=0,-1,IF(A1331=0,-1,A1331*1/(Setup!$G$6)))</f>
        <v>-1</v>
      </c>
      <c r="F1331" s="31"/>
    </row>
    <row r="1332" spans="3:6" ht="15.75" x14ac:dyDescent="0.25">
      <c r="C1332" s="29" t="str">
        <f>IF(B1332=0,"EMPTY",Setup!$D$11*((PI()*2*Setup!$B$22*A1332*B1332)/33000))</f>
        <v>EMPTY</v>
      </c>
      <c r="D1332" s="30" t="str">
        <f>IF(Setup!$H$2=0,"EMPTY",IF(B1332=0,"EMPTY",B1332*Setup!$B$22*Setup!$G$6*Setup!$D$11))</f>
        <v>EMPTY</v>
      </c>
      <c r="E1332" s="31">
        <f>IF(Setup!$H$2=0,-1,IF(A1332=0,-1,A1332*1/(Setup!$G$6)))</f>
        <v>-1</v>
      </c>
      <c r="F1332" s="31"/>
    </row>
    <row r="1333" spans="3:6" ht="15.75" x14ac:dyDescent="0.25">
      <c r="C1333" s="29" t="str">
        <f>IF(B1333=0,"EMPTY",Setup!$D$11*((PI()*2*Setup!$B$22*A1333*B1333)/33000))</f>
        <v>EMPTY</v>
      </c>
      <c r="D1333" s="30" t="str">
        <f>IF(Setup!$H$2=0,"EMPTY",IF(B1333=0,"EMPTY",B1333*Setup!$B$22*Setup!$G$6*Setup!$D$11))</f>
        <v>EMPTY</v>
      </c>
      <c r="E1333" s="31">
        <f>IF(Setup!$H$2=0,-1,IF(A1333=0,-1,A1333*1/(Setup!$G$6)))</f>
        <v>-1</v>
      </c>
      <c r="F1333" s="31"/>
    </row>
    <row r="1334" spans="3:6" ht="15.75" x14ac:dyDescent="0.25">
      <c r="C1334" s="29" t="str">
        <f>IF(B1334=0,"EMPTY",Setup!$D$11*((PI()*2*Setup!$B$22*A1334*B1334)/33000))</f>
        <v>EMPTY</v>
      </c>
      <c r="D1334" s="30" t="str">
        <f>IF(Setup!$H$2=0,"EMPTY",IF(B1334=0,"EMPTY",B1334*Setup!$B$22*Setup!$G$6*Setup!$D$11))</f>
        <v>EMPTY</v>
      </c>
      <c r="E1334" s="31">
        <f>IF(Setup!$H$2=0,-1,IF(A1334=0,-1,A1334*1/(Setup!$G$6)))</f>
        <v>-1</v>
      </c>
      <c r="F1334" s="31"/>
    </row>
    <row r="1335" spans="3:6" ht="15.75" x14ac:dyDescent="0.25">
      <c r="C1335" s="29" t="str">
        <f>IF(B1335=0,"EMPTY",Setup!$D$11*((PI()*2*Setup!$B$22*A1335*B1335)/33000))</f>
        <v>EMPTY</v>
      </c>
      <c r="D1335" s="30" t="str">
        <f>IF(Setup!$H$2=0,"EMPTY",IF(B1335=0,"EMPTY",B1335*Setup!$B$22*Setup!$G$6*Setup!$D$11))</f>
        <v>EMPTY</v>
      </c>
      <c r="E1335" s="31">
        <f>IF(Setup!$H$2=0,-1,IF(A1335=0,-1,A1335*1/(Setup!$G$6)))</f>
        <v>-1</v>
      </c>
      <c r="F1335" s="31"/>
    </row>
    <row r="1336" spans="3:6" ht="15.75" x14ac:dyDescent="0.25">
      <c r="C1336" s="29" t="str">
        <f>IF(B1336=0,"EMPTY",Setup!$D$11*((PI()*2*Setup!$B$22*A1336*B1336)/33000))</f>
        <v>EMPTY</v>
      </c>
      <c r="D1336" s="30" t="str">
        <f>IF(Setup!$H$2=0,"EMPTY",IF(B1336=0,"EMPTY",B1336*Setup!$B$22*Setup!$G$6*Setup!$D$11))</f>
        <v>EMPTY</v>
      </c>
      <c r="E1336" s="31">
        <f>IF(Setup!$H$2=0,-1,IF(A1336=0,-1,A1336*1/(Setup!$G$6)))</f>
        <v>-1</v>
      </c>
      <c r="F1336" s="31"/>
    </row>
    <row r="1337" spans="3:6" ht="15.75" x14ac:dyDescent="0.25">
      <c r="C1337" s="29" t="str">
        <f>IF(B1337=0,"EMPTY",Setup!$D$11*((PI()*2*Setup!$B$22*A1337*B1337)/33000))</f>
        <v>EMPTY</v>
      </c>
      <c r="D1337" s="30" t="str">
        <f>IF(Setup!$H$2=0,"EMPTY",IF(B1337=0,"EMPTY",B1337*Setup!$B$22*Setup!$G$6*Setup!$D$11))</f>
        <v>EMPTY</v>
      </c>
      <c r="E1337" s="31">
        <f>IF(Setup!$H$2=0,-1,IF(A1337=0,-1,A1337*1/(Setup!$G$6)))</f>
        <v>-1</v>
      </c>
      <c r="F1337" s="31"/>
    </row>
    <row r="1338" spans="3:6" ht="15.75" x14ac:dyDescent="0.25">
      <c r="C1338" s="29" t="str">
        <f>IF(B1338=0,"EMPTY",Setup!$D$11*((PI()*2*Setup!$B$22*A1338*B1338)/33000))</f>
        <v>EMPTY</v>
      </c>
      <c r="D1338" s="30" t="str">
        <f>IF(Setup!$H$2=0,"EMPTY",IF(B1338=0,"EMPTY",B1338*Setup!$B$22*Setup!$G$6*Setup!$D$11))</f>
        <v>EMPTY</v>
      </c>
      <c r="E1338" s="31">
        <f>IF(Setup!$H$2=0,-1,IF(A1338=0,-1,A1338*1/(Setup!$G$6)))</f>
        <v>-1</v>
      </c>
      <c r="F1338" s="31"/>
    </row>
    <row r="1339" spans="3:6" ht="15.75" x14ac:dyDescent="0.25">
      <c r="C1339" s="29" t="str">
        <f>IF(B1339=0,"EMPTY",Setup!$D$11*((PI()*2*Setup!$B$22*A1339*B1339)/33000))</f>
        <v>EMPTY</v>
      </c>
      <c r="D1339" s="30" t="str">
        <f>IF(Setup!$H$2=0,"EMPTY",IF(B1339=0,"EMPTY",B1339*Setup!$B$22*Setup!$G$6*Setup!$D$11))</f>
        <v>EMPTY</v>
      </c>
      <c r="E1339" s="31">
        <f>IF(Setup!$H$2=0,-1,IF(A1339=0,-1,A1339*1/(Setup!$G$6)))</f>
        <v>-1</v>
      </c>
      <c r="F1339" s="31"/>
    </row>
    <row r="1340" spans="3:6" ht="15.75" x14ac:dyDescent="0.25">
      <c r="C1340" s="29" t="str">
        <f>IF(B1340=0,"EMPTY",Setup!$D$11*((PI()*2*Setup!$B$22*A1340*B1340)/33000))</f>
        <v>EMPTY</v>
      </c>
      <c r="D1340" s="30" t="str">
        <f>IF(Setup!$H$2=0,"EMPTY",IF(B1340=0,"EMPTY",B1340*Setup!$B$22*Setup!$G$6*Setup!$D$11))</f>
        <v>EMPTY</v>
      </c>
      <c r="E1340" s="31">
        <f>IF(Setup!$H$2=0,-1,IF(A1340=0,-1,A1340*1/(Setup!$G$6)))</f>
        <v>-1</v>
      </c>
      <c r="F1340" s="31"/>
    </row>
    <row r="1341" spans="3:6" ht="15.75" x14ac:dyDescent="0.25">
      <c r="C1341" s="29" t="str">
        <f>IF(B1341=0,"EMPTY",Setup!$D$11*((PI()*2*Setup!$B$22*A1341*B1341)/33000))</f>
        <v>EMPTY</v>
      </c>
      <c r="D1341" s="30" t="str">
        <f>IF(Setup!$H$2=0,"EMPTY",IF(B1341=0,"EMPTY",B1341*Setup!$B$22*Setup!$G$6*Setup!$D$11))</f>
        <v>EMPTY</v>
      </c>
      <c r="E1341" s="31">
        <f>IF(Setup!$H$2=0,-1,IF(A1341=0,-1,A1341*1/(Setup!$G$6)))</f>
        <v>-1</v>
      </c>
      <c r="F1341" s="31"/>
    </row>
    <row r="1342" spans="3:6" ht="15.75" x14ac:dyDescent="0.25">
      <c r="C1342" s="29" t="str">
        <f>IF(B1342=0,"EMPTY",Setup!$D$11*((PI()*2*Setup!$B$22*A1342*B1342)/33000))</f>
        <v>EMPTY</v>
      </c>
      <c r="D1342" s="30" t="str">
        <f>IF(Setup!$H$2=0,"EMPTY",IF(B1342=0,"EMPTY",B1342*Setup!$B$22*Setup!$G$6*Setup!$D$11))</f>
        <v>EMPTY</v>
      </c>
      <c r="E1342" s="31">
        <f>IF(Setup!$H$2=0,-1,IF(A1342=0,-1,A1342*1/(Setup!$G$6)))</f>
        <v>-1</v>
      </c>
      <c r="F1342" s="31"/>
    </row>
    <row r="1343" spans="3:6" ht="15.75" x14ac:dyDescent="0.25">
      <c r="C1343" s="29" t="str">
        <f>IF(B1343=0,"EMPTY",Setup!$D$11*((PI()*2*Setup!$B$22*A1343*B1343)/33000))</f>
        <v>EMPTY</v>
      </c>
      <c r="D1343" s="30" t="str">
        <f>IF(Setup!$H$2=0,"EMPTY",IF(B1343=0,"EMPTY",B1343*Setup!$B$22*Setup!$G$6*Setup!$D$11))</f>
        <v>EMPTY</v>
      </c>
      <c r="E1343" s="31">
        <f>IF(Setup!$H$2=0,-1,IF(A1343=0,-1,A1343*1/(Setup!$G$6)))</f>
        <v>-1</v>
      </c>
      <c r="F1343" s="31"/>
    </row>
    <row r="1344" spans="3:6" ht="15.75" x14ac:dyDescent="0.25">
      <c r="C1344" s="29" t="str">
        <f>IF(B1344=0,"EMPTY",Setup!$D$11*((PI()*2*Setup!$B$22*A1344*B1344)/33000))</f>
        <v>EMPTY</v>
      </c>
      <c r="D1344" s="30" t="str">
        <f>IF(Setup!$H$2=0,"EMPTY",IF(B1344=0,"EMPTY",B1344*Setup!$B$22*Setup!$G$6*Setup!$D$11))</f>
        <v>EMPTY</v>
      </c>
      <c r="E1344" s="31">
        <f>IF(Setup!$H$2=0,-1,IF(A1344=0,-1,A1344*1/(Setup!$G$6)))</f>
        <v>-1</v>
      </c>
      <c r="F1344" s="31"/>
    </row>
    <row r="1345" spans="3:6" ht="15.75" x14ac:dyDescent="0.25">
      <c r="C1345" s="29" t="str">
        <f>IF(B1345=0,"EMPTY",Setup!$D$11*((PI()*2*Setup!$B$22*A1345*B1345)/33000))</f>
        <v>EMPTY</v>
      </c>
      <c r="D1345" s="30" t="str">
        <f>IF(Setup!$H$2=0,"EMPTY",IF(B1345=0,"EMPTY",B1345*Setup!$B$22*Setup!$G$6*Setup!$D$11))</f>
        <v>EMPTY</v>
      </c>
      <c r="E1345" s="31">
        <f>IF(Setup!$H$2=0,-1,IF(A1345=0,-1,A1345*1/(Setup!$G$6)))</f>
        <v>-1</v>
      </c>
      <c r="F1345" s="31"/>
    </row>
    <row r="1346" spans="3:6" ht="15.75" x14ac:dyDescent="0.25">
      <c r="C1346" s="29" t="str">
        <f>IF(B1346=0,"EMPTY",Setup!$D$11*((PI()*2*Setup!$B$22*A1346*B1346)/33000))</f>
        <v>EMPTY</v>
      </c>
      <c r="D1346" s="30" t="str">
        <f>IF(Setup!$H$2=0,"EMPTY",IF(B1346=0,"EMPTY",B1346*Setup!$B$22*Setup!$G$6*Setup!$D$11))</f>
        <v>EMPTY</v>
      </c>
      <c r="E1346" s="31">
        <f>IF(Setup!$H$2=0,-1,IF(A1346=0,-1,A1346*1/(Setup!$G$6)))</f>
        <v>-1</v>
      </c>
      <c r="F1346" s="31"/>
    </row>
    <row r="1347" spans="3:6" ht="15.75" x14ac:dyDescent="0.25">
      <c r="C1347" s="29" t="str">
        <f>IF(B1347=0,"EMPTY",Setup!$D$11*((PI()*2*Setup!$B$22*A1347*B1347)/33000))</f>
        <v>EMPTY</v>
      </c>
      <c r="D1347" s="30" t="str">
        <f>IF(Setup!$H$2=0,"EMPTY",IF(B1347=0,"EMPTY",B1347*Setup!$B$22*Setup!$G$6*Setup!$D$11))</f>
        <v>EMPTY</v>
      </c>
      <c r="E1347" s="31">
        <f>IF(Setup!$H$2=0,-1,IF(A1347=0,-1,A1347*1/(Setup!$G$6)))</f>
        <v>-1</v>
      </c>
      <c r="F1347" s="31"/>
    </row>
    <row r="1348" spans="3:6" ht="15.75" x14ac:dyDescent="0.25">
      <c r="C1348" s="29" t="str">
        <f>IF(B1348=0,"EMPTY",Setup!$D$11*((PI()*2*Setup!$B$22*A1348*B1348)/33000))</f>
        <v>EMPTY</v>
      </c>
      <c r="D1348" s="30" t="str">
        <f>IF(Setup!$H$2=0,"EMPTY",IF(B1348=0,"EMPTY",B1348*Setup!$B$22*Setup!$G$6*Setup!$D$11))</f>
        <v>EMPTY</v>
      </c>
      <c r="E1348" s="31">
        <f>IF(Setup!$H$2=0,-1,IF(A1348=0,-1,A1348*1/(Setup!$G$6)))</f>
        <v>-1</v>
      </c>
      <c r="F1348" s="31"/>
    </row>
    <row r="1349" spans="3:6" ht="15.75" x14ac:dyDescent="0.25">
      <c r="C1349" s="29" t="str">
        <f>IF(B1349=0,"EMPTY",Setup!$D$11*((PI()*2*Setup!$B$22*A1349*B1349)/33000))</f>
        <v>EMPTY</v>
      </c>
      <c r="D1349" s="30" t="str">
        <f>IF(Setup!$H$2=0,"EMPTY",IF(B1349=0,"EMPTY",B1349*Setup!$B$22*Setup!$G$6*Setup!$D$11))</f>
        <v>EMPTY</v>
      </c>
      <c r="E1349" s="31">
        <f>IF(Setup!$H$2=0,-1,IF(A1349=0,-1,A1349*1/(Setup!$G$6)))</f>
        <v>-1</v>
      </c>
      <c r="F1349" s="31"/>
    </row>
    <row r="1350" spans="3:6" ht="15.75" x14ac:dyDescent="0.25">
      <c r="C1350" s="29" t="str">
        <f>IF(B1350=0,"EMPTY",Setup!$D$11*((PI()*2*Setup!$B$22*A1350*B1350)/33000))</f>
        <v>EMPTY</v>
      </c>
      <c r="D1350" s="30" t="str">
        <f>IF(Setup!$H$2=0,"EMPTY",IF(B1350=0,"EMPTY",B1350*Setup!$B$22*Setup!$G$6*Setup!$D$11))</f>
        <v>EMPTY</v>
      </c>
      <c r="E1350" s="31">
        <f>IF(Setup!$H$2=0,-1,IF(A1350=0,-1,A1350*1/(Setup!$G$6)))</f>
        <v>-1</v>
      </c>
      <c r="F1350" s="31"/>
    </row>
    <row r="1351" spans="3:6" ht="15.75" x14ac:dyDescent="0.25">
      <c r="C1351" s="29" t="str">
        <f>IF(B1351=0,"EMPTY",Setup!$D$11*((PI()*2*Setup!$B$22*A1351*B1351)/33000))</f>
        <v>EMPTY</v>
      </c>
      <c r="D1351" s="30" t="str">
        <f>IF(Setup!$H$2=0,"EMPTY",IF(B1351=0,"EMPTY",B1351*Setup!$B$22*Setup!$G$6*Setup!$D$11))</f>
        <v>EMPTY</v>
      </c>
      <c r="E1351" s="31">
        <f>IF(Setup!$H$2=0,-1,IF(A1351=0,-1,A1351*1/(Setup!$G$6)))</f>
        <v>-1</v>
      </c>
      <c r="F1351" s="31"/>
    </row>
    <row r="1352" spans="3:6" ht="15.75" x14ac:dyDescent="0.25">
      <c r="C1352" s="29" t="str">
        <f>IF(B1352=0,"EMPTY",Setup!$D$11*((PI()*2*Setup!$B$22*A1352*B1352)/33000))</f>
        <v>EMPTY</v>
      </c>
      <c r="D1352" s="30" t="str">
        <f>IF(Setup!$H$2=0,"EMPTY",IF(B1352=0,"EMPTY",B1352*Setup!$B$22*Setup!$G$6*Setup!$D$11))</f>
        <v>EMPTY</v>
      </c>
      <c r="E1352" s="31">
        <f>IF(Setup!$H$2=0,-1,IF(A1352=0,-1,A1352*1/(Setup!$G$6)))</f>
        <v>-1</v>
      </c>
      <c r="F1352" s="31"/>
    </row>
    <row r="1353" spans="3:6" ht="15.75" x14ac:dyDescent="0.25">
      <c r="C1353" s="29" t="str">
        <f>IF(B1353=0,"EMPTY",Setup!$D$11*((PI()*2*Setup!$B$22*A1353*B1353)/33000))</f>
        <v>EMPTY</v>
      </c>
      <c r="D1353" s="30" t="str">
        <f>IF(Setup!$H$2=0,"EMPTY",IF(B1353=0,"EMPTY",B1353*Setup!$B$22*Setup!$G$6*Setup!$D$11))</f>
        <v>EMPTY</v>
      </c>
      <c r="E1353" s="31">
        <f>IF(Setup!$H$2=0,-1,IF(A1353=0,-1,A1353*1/(Setup!$G$6)))</f>
        <v>-1</v>
      </c>
      <c r="F1353" s="31"/>
    </row>
    <row r="1354" spans="3:6" ht="15.75" x14ac:dyDescent="0.25">
      <c r="C1354" s="29" t="str">
        <f>IF(B1354=0,"EMPTY",Setup!$D$11*((PI()*2*Setup!$B$22*A1354*B1354)/33000))</f>
        <v>EMPTY</v>
      </c>
      <c r="D1354" s="30" t="str">
        <f>IF(Setup!$H$2=0,"EMPTY",IF(B1354=0,"EMPTY",B1354*Setup!$B$22*Setup!$G$6*Setup!$D$11))</f>
        <v>EMPTY</v>
      </c>
      <c r="E1354" s="31">
        <f>IF(Setup!$H$2=0,-1,IF(A1354=0,-1,A1354*1/(Setup!$G$6)))</f>
        <v>-1</v>
      </c>
      <c r="F1354" s="31"/>
    </row>
    <row r="1355" spans="3:6" ht="15.75" x14ac:dyDescent="0.25">
      <c r="C1355" s="29" t="str">
        <f>IF(B1355=0,"EMPTY",Setup!$D$11*((PI()*2*Setup!$B$22*A1355*B1355)/33000))</f>
        <v>EMPTY</v>
      </c>
      <c r="D1355" s="30" t="str">
        <f>IF(Setup!$H$2=0,"EMPTY",IF(B1355=0,"EMPTY",B1355*Setup!$B$22*Setup!$G$6*Setup!$D$11))</f>
        <v>EMPTY</v>
      </c>
      <c r="E1355" s="31">
        <f>IF(Setup!$H$2=0,-1,IF(A1355=0,-1,A1355*1/(Setup!$G$6)))</f>
        <v>-1</v>
      </c>
      <c r="F1355" s="31"/>
    </row>
    <row r="1356" spans="3:6" ht="15.75" x14ac:dyDescent="0.25">
      <c r="C1356" s="29" t="str">
        <f>IF(B1356=0,"EMPTY",Setup!$D$11*((PI()*2*Setup!$B$22*A1356*B1356)/33000))</f>
        <v>EMPTY</v>
      </c>
      <c r="D1356" s="30" t="str">
        <f>IF(Setup!$H$2=0,"EMPTY",IF(B1356=0,"EMPTY",B1356*Setup!$B$22*Setup!$G$6*Setup!$D$11))</f>
        <v>EMPTY</v>
      </c>
      <c r="E1356" s="31">
        <f>IF(Setup!$H$2=0,-1,IF(A1356=0,-1,A1356*1/(Setup!$G$6)))</f>
        <v>-1</v>
      </c>
      <c r="F1356" s="31"/>
    </row>
    <row r="1357" spans="3:6" ht="15.75" x14ac:dyDescent="0.25">
      <c r="C1357" s="29" t="str">
        <f>IF(B1357=0,"EMPTY",Setup!$D$11*((PI()*2*Setup!$B$22*A1357*B1357)/33000))</f>
        <v>EMPTY</v>
      </c>
      <c r="D1357" s="30" t="str">
        <f>IF(Setup!$H$2=0,"EMPTY",IF(B1357=0,"EMPTY",B1357*Setup!$B$22*Setup!$G$6*Setup!$D$11))</f>
        <v>EMPTY</v>
      </c>
      <c r="E1357" s="31">
        <f>IF(Setup!$H$2=0,-1,IF(A1357=0,-1,A1357*1/(Setup!$G$6)))</f>
        <v>-1</v>
      </c>
      <c r="F1357" s="31"/>
    </row>
    <row r="1358" spans="3:6" ht="15.75" x14ac:dyDescent="0.25">
      <c r="C1358" s="29" t="str">
        <f>IF(B1358=0,"EMPTY",Setup!$D$11*((PI()*2*Setup!$B$22*A1358*B1358)/33000))</f>
        <v>EMPTY</v>
      </c>
      <c r="D1358" s="30" t="str">
        <f>IF(Setup!$H$2=0,"EMPTY",IF(B1358=0,"EMPTY",B1358*Setup!$B$22*Setup!$G$6*Setup!$D$11))</f>
        <v>EMPTY</v>
      </c>
      <c r="E1358" s="31">
        <f>IF(Setup!$H$2=0,-1,IF(A1358=0,-1,A1358*1/(Setup!$G$6)))</f>
        <v>-1</v>
      </c>
      <c r="F1358" s="31"/>
    </row>
    <row r="1359" spans="3:6" ht="15.75" x14ac:dyDescent="0.25">
      <c r="C1359" s="29" t="str">
        <f>IF(B1359=0,"EMPTY",Setup!$D$11*((PI()*2*Setup!$B$22*A1359*B1359)/33000))</f>
        <v>EMPTY</v>
      </c>
      <c r="D1359" s="30" t="str">
        <f>IF(Setup!$H$2=0,"EMPTY",IF(B1359=0,"EMPTY",B1359*Setup!$B$22*Setup!$G$6*Setup!$D$11))</f>
        <v>EMPTY</v>
      </c>
      <c r="E1359" s="31">
        <f>IF(Setup!$H$2=0,-1,IF(A1359=0,-1,A1359*1/(Setup!$G$6)))</f>
        <v>-1</v>
      </c>
      <c r="F1359" s="31"/>
    </row>
    <row r="1360" spans="3:6" ht="15.75" x14ac:dyDescent="0.25">
      <c r="C1360" s="29" t="str">
        <f>IF(B1360=0,"EMPTY",Setup!$D$11*((PI()*2*Setup!$B$22*A1360*B1360)/33000))</f>
        <v>EMPTY</v>
      </c>
      <c r="D1360" s="30" t="str">
        <f>IF(Setup!$H$2=0,"EMPTY",IF(B1360=0,"EMPTY",B1360*Setup!$B$22*Setup!$G$6*Setup!$D$11))</f>
        <v>EMPTY</v>
      </c>
      <c r="E1360" s="31">
        <f>IF(Setup!$H$2=0,-1,IF(A1360=0,-1,A1360*1/(Setup!$G$6)))</f>
        <v>-1</v>
      </c>
      <c r="F1360" s="31"/>
    </row>
    <row r="1361" spans="3:6" ht="15.75" x14ac:dyDescent="0.25">
      <c r="C1361" s="29" t="str">
        <f>IF(B1361=0,"EMPTY",Setup!$D$11*((PI()*2*Setup!$B$22*A1361*B1361)/33000))</f>
        <v>EMPTY</v>
      </c>
      <c r="D1361" s="30" t="str">
        <f>IF(Setup!$H$2=0,"EMPTY",IF(B1361=0,"EMPTY",B1361*Setup!$B$22*Setup!$G$6*Setup!$D$11))</f>
        <v>EMPTY</v>
      </c>
      <c r="E1361" s="31">
        <f>IF(Setup!$H$2=0,-1,IF(A1361=0,-1,A1361*1/(Setup!$G$6)))</f>
        <v>-1</v>
      </c>
      <c r="F1361" s="31"/>
    </row>
    <row r="1362" spans="3:6" ht="15.75" x14ac:dyDescent="0.25">
      <c r="C1362" s="29" t="str">
        <f>IF(B1362=0,"EMPTY",Setup!$D$11*((PI()*2*Setup!$B$22*A1362*B1362)/33000))</f>
        <v>EMPTY</v>
      </c>
      <c r="D1362" s="30" t="str">
        <f>IF(Setup!$H$2=0,"EMPTY",IF(B1362=0,"EMPTY",B1362*Setup!$B$22*Setup!$G$6*Setup!$D$11))</f>
        <v>EMPTY</v>
      </c>
      <c r="E1362" s="31">
        <f>IF(Setup!$H$2=0,-1,IF(A1362=0,-1,A1362*1/(Setup!$G$6)))</f>
        <v>-1</v>
      </c>
      <c r="F1362" s="31"/>
    </row>
    <row r="1363" spans="3:6" ht="15.75" x14ac:dyDescent="0.25">
      <c r="C1363" s="29" t="str">
        <f>IF(B1363=0,"EMPTY",Setup!$D$11*((PI()*2*Setup!$B$22*A1363*B1363)/33000))</f>
        <v>EMPTY</v>
      </c>
      <c r="D1363" s="30" t="str">
        <f>IF(Setup!$H$2=0,"EMPTY",IF(B1363=0,"EMPTY",B1363*Setup!$B$22*Setup!$G$6*Setup!$D$11))</f>
        <v>EMPTY</v>
      </c>
      <c r="E1363" s="31">
        <f>IF(Setup!$H$2=0,-1,IF(A1363=0,-1,A1363*1/(Setup!$G$6)))</f>
        <v>-1</v>
      </c>
      <c r="F1363" s="31"/>
    </row>
    <row r="1364" spans="3:6" ht="15.75" x14ac:dyDescent="0.25">
      <c r="C1364" s="29" t="str">
        <f>IF(B1364=0,"EMPTY",Setup!$D$11*((PI()*2*Setup!$B$22*A1364*B1364)/33000))</f>
        <v>EMPTY</v>
      </c>
      <c r="D1364" s="30" t="str">
        <f>IF(Setup!$H$2=0,"EMPTY",IF(B1364=0,"EMPTY",B1364*Setup!$B$22*Setup!$G$6*Setup!$D$11))</f>
        <v>EMPTY</v>
      </c>
      <c r="E1364" s="31">
        <f>IF(Setup!$H$2=0,-1,IF(A1364=0,-1,A1364*1/(Setup!$G$6)))</f>
        <v>-1</v>
      </c>
      <c r="F1364" s="31"/>
    </row>
    <row r="1365" spans="3:6" ht="15.75" x14ac:dyDescent="0.25">
      <c r="C1365" s="29" t="str">
        <f>IF(B1365=0,"EMPTY",Setup!$D$11*((PI()*2*Setup!$B$22*A1365*B1365)/33000))</f>
        <v>EMPTY</v>
      </c>
      <c r="D1365" s="30" t="str">
        <f>IF(Setup!$H$2=0,"EMPTY",IF(B1365=0,"EMPTY",B1365*Setup!$B$22*Setup!$G$6*Setup!$D$11))</f>
        <v>EMPTY</v>
      </c>
      <c r="E1365" s="31">
        <f>IF(Setup!$H$2=0,-1,IF(A1365=0,-1,A1365*1/(Setup!$G$6)))</f>
        <v>-1</v>
      </c>
      <c r="F1365" s="31"/>
    </row>
    <row r="1366" spans="3:6" ht="15.75" x14ac:dyDescent="0.25">
      <c r="C1366" s="29" t="str">
        <f>IF(B1366=0,"EMPTY",Setup!$D$11*((PI()*2*Setup!$B$22*A1366*B1366)/33000))</f>
        <v>EMPTY</v>
      </c>
      <c r="D1366" s="30" t="str">
        <f>IF(Setup!$H$2=0,"EMPTY",IF(B1366=0,"EMPTY",B1366*Setup!$B$22*Setup!$G$6*Setup!$D$11))</f>
        <v>EMPTY</v>
      </c>
      <c r="E1366" s="31">
        <f>IF(Setup!$H$2=0,-1,IF(A1366=0,-1,A1366*1/(Setup!$G$6)))</f>
        <v>-1</v>
      </c>
      <c r="F1366" s="31"/>
    </row>
    <row r="1367" spans="3:6" ht="15.75" x14ac:dyDescent="0.25">
      <c r="C1367" s="29" t="str">
        <f>IF(B1367=0,"EMPTY",Setup!$D$11*((PI()*2*Setup!$B$22*A1367*B1367)/33000))</f>
        <v>EMPTY</v>
      </c>
      <c r="D1367" s="30" t="str">
        <f>IF(Setup!$H$2=0,"EMPTY",IF(B1367=0,"EMPTY",B1367*Setup!$B$22*Setup!$G$6*Setup!$D$11))</f>
        <v>EMPTY</v>
      </c>
      <c r="E1367" s="31">
        <f>IF(Setup!$H$2=0,-1,IF(A1367=0,-1,A1367*1/(Setup!$G$6)))</f>
        <v>-1</v>
      </c>
      <c r="F1367" s="31"/>
    </row>
    <row r="1368" spans="3:6" ht="15.75" x14ac:dyDescent="0.25">
      <c r="C1368" s="29" t="str">
        <f>IF(B1368=0,"EMPTY",Setup!$D$11*((PI()*2*Setup!$B$22*A1368*B1368)/33000))</f>
        <v>EMPTY</v>
      </c>
      <c r="D1368" s="30" t="str">
        <f>IF(Setup!$H$2=0,"EMPTY",IF(B1368=0,"EMPTY",B1368*Setup!$B$22*Setup!$G$6*Setup!$D$11))</f>
        <v>EMPTY</v>
      </c>
      <c r="E1368" s="31">
        <f>IF(Setup!$H$2=0,-1,IF(A1368=0,-1,A1368*1/(Setup!$G$6)))</f>
        <v>-1</v>
      </c>
      <c r="F1368" s="31"/>
    </row>
    <row r="1369" spans="3:6" ht="15.75" x14ac:dyDescent="0.25">
      <c r="C1369" s="29" t="str">
        <f>IF(B1369=0,"EMPTY",Setup!$D$11*((PI()*2*Setup!$B$22*A1369*B1369)/33000))</f>
        <v>EMPTY</v>
      </c>
      <c r="D1369" s="30" t="str">
        <f>IF(Setup!$H$2=0,"EMPTY",IF(B1369=0,"EMPTY",B1369*Setup!$B$22*Setup!$G$6*Setup!$D$11))</f>
        <v>EMPTY</v>
      </c>
      <c r="E1369" s="31">
        <f>IF(Setup!$H$2=0,-1,IF(A1369=0,-1,A1369*1/(Setup!$G$6)))</f>
        <v>-1</v>
      </c>
      <c r="F1369" s="31"/>
    </row>
    <row r="1370" spans="3:6" ht="15.75" x14ac:dyDescent="0.25">
      <c r="C1370" s="29" t="str">
        <f>IF(B1370=0,"EMPTY",Setup!$D$11*((PI()*2*Setup!$B$22*A1370*B1370)/33000))</f>
        <v>EMPTY</v>
      </c>
      <c r="D1370" s="30" t="str">
        <f>IF(Setup!$H$2=0,"EMPTY",IF(B1370=0,"EMPTY",B1370*Setup!$B$22*Setup!$G$6*Setup!$D$11))</f>
        <v>EMPTY</v>
      </c>
      <c r="E1370" s="31">
        <f>IF(Setup!$H$2=0,-1,IF(A1370=0,-1,A1370*1/(Setup!$G$6)))</f>
        <v>-1</v>
      </c>
      <c r="F1370" s="31"/>
    </row>
    <row r="1371" spans="3:6" ht="15.75" x14ac:dyDescent="0.25">
      <c r="C1371" s="29" t="str">
        <f>IF(B1371=0,"EMPTY",Setup!$D$11*((PI()*2*Setup!$B$22*A1371*B1371)/33000))</f>
        <v>EMPTY</v>
      </c>
      <c r="D1371" s="30" t="str">
        <f>IF(Setup!$H$2=0,"EMPTY",IF(B1371=0,"EMPTY",B1371*Setup!$B$22*Setup!$G$6*Setup!$D$11))</f>
        <v>EMPTY</v>
      </c>
      <c r="E1371" s="31">
        <f>IF(Setup!$H$2=0,-1,IF(A1371=0,-1,A1371*1/(Setup!$G$6)))</f>
        <v>-1</v>
      </c>
      <c r="F1371" s="31"/>
    </row>
    <row r="1372" spans="3:6" ht="15.75" x14ac:dyDescent="0.25">
      <c r="C1372" s="29" t="str">
        <f>IF(B1372=0,"EMPTY",Setup!$D$11*((PI()*2*Setup!$B$22*A1372*B1372)/33000))</f>
        <v>EMPTY</v>
      </c>
      <c r="D1372" s="30" t="str">
        <f>IF(Setup!$H$2=0,"EMPTY",IF(B1372=0,"EMPTY",B1372*Setup!$B$22*Setup!$G$6*Setup!$D$11))</f>
        <v>EMPTY</v>
      </c>
      <c r="E1372" s="31">
        <f>IF(Setup!$H$2=0,-1,IF(A1372=0,-1,A1372*1/(Setup!$G$6)))</f>
        <v>-1</v>
      </c>
      <c r="F1372" s="31"/>
    </row>
    <row r="1373" spans="3:6" ht="15.75" x14ac:dyDescent="0.25">
      <c r="C1373" s="29" t="str">
        <f>IF(B1373=0,"EMPTY",Setup!$D$11*((PI()*2*Setup!$B$22*A1373*B1373)/33000))</f>
        <v>EMPTY</v>
      </c>
      <c r="D1373" s="30" t="str">
        <f>IF(Setup!$H$2=0,"EMPTY",IF(B1373=0,"EMPTY",B1373*Setup!$B$22*Setup!$G$6*Setup!$D$11))</f>
        <v>EMPTY</v>
      </c>
      <c r="E1373" s="31">
        <f>IF(Setup!$H$2=0,-1,IF(A1373=0,-1,A1373*1/(Setup!$G$6)))</f>
        <v>-1</v>
      </c>
      <c r="F1373" s="31"/>
    </row>
    <row r="1374" spans="3:6" ht="15.75" x14ac:dyDescent="0.25">
      <c r="C1374" s="29" t="str">
        <f>IF(B1374=0,"EMPTY",Setup!$D$11*((PI()*2*Setup!$B$22*A1374*B1374)/33000))</f>
        <v>EMPTY</v>
      </c>
      <c r="D1374" s="30" t="str">
        <f>IF(Setup!$H$2=0,"EMPTY",IF(B1374=0,"EMPTY",B1374*Setup!$B$22*Setup!$G$6*Setup!$D$11))</f>
        <v>EMPTY</v>
      </c>
      <c r="E1374" s="31">
        <f>IF(Setup!$H$2=0,-1,IF(A1374=0,-1,A1374*1/(Setup!$G$6)))</f>
        <v>-1</v>
      </c>
      <c r="F1374" s="31"/>
    </row>
    <row r="1375" spans="3:6" ht="15.75" x14ac:dyDescent="0.25">
      <c r="C1375" s="29" t="str">
        <f>IF(B1375=0,"EMPTY",Setup!$D$11*((PI()*2*Setup!$B$22*A1375*B1375)/33000))</f>
        <v>EMPTY</v>
      </c>
      <c r="D1375" s="30" t="str">
        <f>IF(Setup!$H$2=0,"EMPTY",IF(B1375=0,"EMPTY",B1375*Setup!$B$22*Setup!$G$6*Setup!$D$11))</f>
        <v>EMPTY</v>
      </c>
      <c r="E1375" s="31">
        <f>IF(Setup!$H$2=0,-1,IF(A1375=0,-1,A1375*1/(Setup!$G$6)))</f>
        <v>-1</v>
      </c>
      <c r="F1375" s="31"/>
    </row>
    <row r="1376" spans="3:6" ht="15.75" x14ac:dyDescent="0.25">
      <c r="C1376" s="29" t="str">
        <f>IF(B1376=0,"EMPTY",Setup!$D$11*((PI()*2*Setup!$B$22*A1376*B1376)/33000))</f>
        <v>EMPTY</v>
      </c>
      <c r="D1376" s="30" t="str">
        <f>IF(Setup!$H$2=0,"EMPTY",IF(B1376=0,"EMPTY",B1376*Setup!$B$22*Setup!$G$6*Setup!$D$11))</f>
        <v>EMPTY</v>
      </c>
      <c r="E1376" s="31">
        <f>IF(Setup!$H$2=0,-1,IF(A1376=0,-1,A1376*1/(Setup!$G$6)))</f>
        <v>-1</v>
      </c>
      <c r="F1376" s="31"/>
    </row>
    <row r="1377" spans="3:6" ht="15.75" x14ac:dyDescent="0.25">
      <c r="C1377" s="29" t="str">
        <f>IF(B1377=0,"EMPTY",Setup!$D$11*((PI()*2*Setup!$B$22*A1377*B1377)/33000))</f>
        <v>EMPTY</v>
      </c>
      <c r="D1377" s="30" t="str">
        <f>IF(Setup!$H$2=0,"EMPTY",IF(B1377=0,"EMPTY",B1377*Setup!$B$22*Setup!$G$6*Setup!$D$11))</f>
        <v>EMPTY</v>
      </c>
      <c r="E1377" s="31">
        <f>IF(Setup!$H$2=0,-1,IF(A1377=0,-1,A1377*1/(Setup!$G$6)))</f>
        <v>-1</v>
      </c>
      <c r="F1377" s="31"/>
    </row>
    <row r="1378" spans="3:6" ht="15.75" x14ac:dyDescent="0.25">
      <c r="C1378" s="29" t="str">
        <f>IF(B1378=0,"EMPTY",Setup!$D$11*((PI()*2*Setup!$B$22*A1378*B1378)/33000))</f>
        <v>EMPTY</v>
      </c>
      <c r="D1378" s="30" t="str">
        <f>IF(Setup!$H$2=0,"EMPTY",IF(B1378=0,"EMPTY",B1378*Setup!$B$22*Setup!$G$6*Setup!$D$11))</f>
        <v>EMPTY</v>
      </c>
      <c r="E1378" s="31">
        <f>IF(Setup!$H$2=0,-1,IF(A1378=0,-1,A1378*1/(Setup!$G$6)))</f>
        <v>-1</v>
      </c>
      <c r="F1378" s="31"/>
    </row>
    <row r="1379" spans="3:6" ht="15.75" x14ac:dyDescent="0.25">
      <c r="C1379" s="29" t="str">
        <f>IF(B1379=0,"EMPTY",Setup!$D$11*((PI()*2*Setup!$B$22*A1379*B1379)/33000))</f>
        <v>EMPTY</v>
      </c>
      <c r="D1379" s="30" t="str">
        <f>IF(Setup!$H$2=0,"EMPTY",IF(B1379=0,"EMPTY",B1379*Setup!$B$22*Setup!$G$6*Setup!$D$11))</f>
        <v>EMPTY</v>
      </c>
      <c r="E1379" s="31">
        <f>IF(Setup!$H$2=0,-1,IF(A1379=0,-1,A1379*1/(Setup!$G$6)))</f>
        <v>-1</v>
      </c>
      <c r="F1379" s="31"/>
    </row>
    <row r="1380" spans="3:6" ht="15.75" x14ac:dyDescent="0.25">
      <c r="C1380" s="29" t="str">
        <f>IF(B1380=0,"EMPTY",Setup!$D$11*((PI()*2*Setup!$B$22*A1380*B1380)/33000))</f>
        <v>EMPTY</v>
      </c>
      <c r="D1380" s="30" t="str">
        <f>IF(Setup!$H$2=0,"EMPTY",IF(B1380=0,"EMPTY",B1380*Setup!$B$22*Setup!$G$6*Setup!$D$11))</f>
        <v>EMPTY</v>
      </c>
      <c r="E1380" s="31">
        <f>IF(Setup!$H$2=0,-1,IF(A1380=0,-1,A1380*1/(Setup!$G$6)))</f>
        <v>-1</v>
      </c>
      <c r="F1380" s="31"/>
    </row>
    <row r="1381" spans="3:6" ht="15.75" x14ac:dyDescent="0.25">
      <c r="C1381" s="29" t="str">
        <f>IF(B1381=0,"EMPTY",Setup!$D$11*((PI()*2*Setup!$B$22*A1381*B1381)/33000))</f>
        <v>EMPTY</v>
      </c>
      <c r="D1381" s="30" t="str">
        <f>IF(Setup!$H$2=0,"EMPTY",IF(B1381=0,"EMPTY",B1381*Setup!$B$22*Setup!$G$6*Setup!$D$11))</f>
        <v>EMPTY</v>
      </c>
      <c r="E1381" s="31">
        <f>IF(Setup!$H$2=0,-1,IF(A1381=0,-1,A1381*1/(Setup!$G$6)))</f>
        <v>-1</v>
      </c>
      <c r="F1381" s="31"/>
    </row>
    <row r="1382" spans="3:6" ht="15.75" x14ac:dyDescent="0.25">
      <c r="C1382" s="29" t="str">
        <f>IF(B1382=0,"EMPTY",Setup!$D$11*((PI()*2*Setup!$B$22*A1382*B1382)/33000))</f>
        <v>EMPTY</v>
      </c>
      <c r="D1382" s="30" t="str">
        <f>IF(Setup!$H$2=0,"EMPTY",IF(B1382=0,"EMPTY",B1382*Setup!$B$22*Setup!$G$6*Setup!$D$11))</f>
        <v>EMPTY</v>
      </c>
      <c r="E1382" s="31">
        <f>IF(Setup!$H$2=0,-1,IF(A1382=0,-1,A1382*1/(Setup!$G$6)))</f>
        <v>-1</v>
      </c>
      <c r="F1382" s="31"/>
    </row>
    <row r="1383" spans="3:6" ht="15.75" x14ac:dyDescent="0.25">
      <c r="C1383" s="29" t="str">
        <f>IF(B1383=0,"EMPTY",Setup!$D$11*((PI()*2*Setup!$B$22*A1383*B1383)/33000))</f>
        <v>EMPTY</v>
      </c>
      <c r="D1383" s="30" t="str">
        <f>IF(Setup!$H$2=0,"EMPTY",IF(B1383=0,"EMPTY",B1383*Setup!$B$22*Setup!$G$6*Setup!$D$11))</f>
        <v>EMPTY</v>
      </c>
      <c r="E1383" s="31">
        <f>IF(Setup!$H$2=0,-1,IF(A1383=0,-1,A1383*1/(Setup!$G$6)))</f>
        <v>-1</v>
      </c>
      <c r="F1383" s="31"/>
    </row>
    <row r="1384" spans="3:6" ht="15.75" x14ac:dyDescent="0.25">
      <c r="C1384" s="29" t="str">
        <f>IF(B1384=0,"EMPTY",Setup!$D$11*((PI()*2*Setup!$B$22*A1384*B1384)/33000))</f>
        <v>EMPTY</v>
      </c>
      <c r="D1384" s="30" t="str">
        <f>IF(Setup!$H$2=0,"EMPTY",IF(B1384=0,"EMPTY",B1384*Setup!$B$22*Setup!$G$6*Setup!$D$11))</f>
        <v>EMPTY</v>
      </c>
      <c r="E1384" s="31">
        <f>IF(Setup!$H$2=0,-1,IF(A1384=0,-1,A1384*1/(Setup!$G$6)))</f>
        <v>-1</v>
      </c>
      <c r="F1384" s="31"/>
    </row>
    <row r="1385" spans="3:6" ht="15.75" x14ac:dyDescent="0.25">
      <c r="C1385" s="29" t="str">
        <f>IF(B1385=0,"EMPTY",Setup!$D$11*((PI()*2*Setup!$B$22*A1385*B1385)/33000))</f>
        <v>EMPTY</v>
      </c>
      <c r="D1385" s="30" t="str">
        <f>IF(Setup!$H$2=0,"EMPTY",IF(B1385=0,"EMPTY",B1385*Setup!$B$22*Setup!$G$6*Setup!$D$11))</f>
        <v>EMPTY</v>
      </c>
      <c r="E1385" s="31">
        <f>IF(Setup!$H$2=0,-1,IF(A1385=0,-1,A1385*1/(Setup!$G$6)))</f>
        <v>-1</v>
      </c>
      <c r="F1385" s="31"/>
    </row>
    <row r="1386" spans="3:6" ht="15.75" x14ac:dyDescent="0.25">
      <c r="C1386" s="29" t="str">
        <f>IF(B1386=0,"EMPTY",Setup!$D$11*((PI()*2*Setup!$B$22*A1386*B1386)/33000))</f>
        <v>EMPTY</v>
      </c>
      <c r="D1386" s="30" t="str">
        <f>IF(Setup!$H$2=0,"EMPTY",IF(B1386=0,"EMPTY",B1386*Setup!$B$22*Setup!$G$6*Setup!$D$11))</f>
        <v>EMPTY</v>
      </c>
      <c r="E1386" s="31">
        <f>IF(Setup!$H$2=0,-1,IF(A1386=0,-1,A1386*1/(Setup!$G$6)))</f>
        <v>-1</v>
      </c>
      <c r="F1386" s="31"/>
    </row>
    <row r="1387" spans="3:6" ht="15.75" x14ac:dyDescent="0.25">
      <c r="C1387" s="29" t="str">
        <f>IF(B1387=0,"EMPTY",Setup!$D$11*((PI()*2*Setup!$B$22*A1387*B1387)/33000))</f>
        <v>EMPTY</v>
      </c>
      <c r="D1387" s="30" t="str">
        <f>IF(Setup!$H$2=0,"EMPTY",IF(B1387=0,"EMPTY",B1387*Setup!$B$22*Setup!$G$6*Setup!$D$11))</f>
        <v>EMPTY</v>
      </c>
      <c r="E1387" s="31">
        <f>IF(Setup!$H$2=0,-1,IF(A1387=0,-1,A1387*1/(Setup!$G$6)))</f>
        <v>-1</v>
      </c>
      <c r="F1387" s="31"/>
    </row>
    <row r="1388" spans="3:6" ht="15.75" x14ac:dyDescent="0.25">
      <c r="C1388" s="29" t="str">
        <f>IF(B1388=0,"EMPTY",Setup!$D$11*((PI()*2*Setup!$B$22*A1388*B1388)/33000))</f>
        <v>EMPTY</v>
      </c>
      <c r="D1388" s="30" t="str">
        <f>IF(Setup!$H$2=0,"EMPTY",IF(B1388=0,"EMPTY",B1388*Setup!$B$22*Setup!$G$6*Setup!$D$11))</f>
        <v>EMPTY</v>
      </c>
      <c r="E1388" s="31">
        <f>IF(Setup!$H$2=0,-1,IF(A1388=0,-1,A1388*1/(Setup!$G$6)))</f>
        <v>-1</v>
      </c>
      <c r="F1388" s="31"/>
    </row>
    <row r="1389" spans="3:6" ht="15.75" x14ac:dyDescent="0.25">
      <c r="C1389" s="29" t="str">
        <f>IF(B1389=0,"EMPTY",Setup!$D$11*((PI()*2*Setup!$B$22*A1389*B1389)/33000))</f>
        <v>EMPTY</v>
      </c>
      <c r="D1389" s="30" t="str">
        <f>IF(Setup!$H$2=0,"EMPTY",IF(B1389=0,"EMPTY",B1389*Setup!$B$22*Setup!$G$6*Setup!$D$11))</f>
        <v>EMPTY</v>
      </c>
      <c r="E1389" s="31">
        <f>IF(Setup!$H$2=0,-1,IF(A1389=0,-1,A1389*1/(Setup!$G$6)))</f>
        <v>-1</v>
      </c>
      <c r="F1389" s="31"/>
    </row>
    <row r="1390" spans="3:6" ht="15.75" x14ac:dyDescent="0.25">
      <c r="C1390" s="29" t="str">
        <f>IF(B1390=0,"EMPTY",Setup!$D$11*((PI()*2*Setup!$B$22*A1390*B1390)/33000))</f>
        <v>EMPTY</v>
      </c>
      <c r="D1390" s="30" t="str">
        <f>IF(Setup!$H$2=0,"EMPTY",IF(B1390=0,"EMPTY",B1390*Setup!$B$22*Setup!$G$6*Setup!$D$11))</f>
        <v>EMPTY</v>
      </c>
      <c r="E1390" s="31">
        <f>IF(Setup!$H$2=0,-1,IF(A1390=0,-1,A1390*1/(Setup!$G$6)))</f>
        <v>-1</v>
      </c>
      <c r="F1390" s="31"/>
    </row>
    <row r="1391" spans="3:6" ht="15.75" x14ac:dyDescent="0.25">
      <c r="C1391" s="29" t="str">
        <f>IF(B1391=0,"EMPTY",Setup!$D$11*((PI()*2*Setup!$B$22*A1391*B1391)/33000))</f>
        <v>EMPTY</v>
      </c>
      <c r="D1391" s="30" t="str">
        <f>IF(Setup!$H$2=0,"EMPTY",IF(B1391=0,"EMPTY",B1391*Setup!$B$22*Setup!$G$6*Setup!$D$11))</f>
        <v>EMPTY</v>
      </c>
      <c r="E1391" s="31">
        <f>IF(Setup!$H$2=0,-1,IF(A1391=0,-1,A1391*1/(Setup!$G$6)))</f>
        <v>-1</v>
      </c>
      <c r="F1391" s="31"/>
    </row>
    <row r="1392" spans="3:6" ht="15.75" x14ac:dyDescent="0.25">
      <c r="C1392" s="29" t="str">
        <f>IF(B1392=0,"EMPTY",Setup!$D$11*((PI()*2*Setup!$B$22*A1392*B1392)/33000))</f>
        <v>EMPTY</v>
      </c>
      <c r="D1392" s="30" t="str">
        <f>IF(Setup!$H$2=0,"EMPTY",IF(B1392=0,"EMPTY",B1392*Setup!$B$22*Setup!$G$6*Setup!$D$11))</f>
        <v>EMPTY</v>
      </c>
      <c r="E1392" s="31">
        <f>IF(Setup!$H$2=0,-1,IF(A1392=0,-1,A1392*1/(Setup!$G$6)))</f>
        <v>-1</v>
      </c>
      <c r="F1392" s="31"/>
    </row>
    <row r="1393" spans="3:6" ht="15.75" x14ac:dyDescent="0.25">
      <c r="C1393" s="29" t="str">
        <f>IF(B1393=0,"EMPTY",Setup!$D$11*((PI()*2*Setup!$B$22*A1393*B1393)/33000))</f>
        <v>EMPTY</v>
      </c>
      <c r="D1393" s="30" t="str">
        <f>IF(Setup!$H$2=0,"EMPTY",IF(B1393=0,"EMPTY",B1393*Setup!$B$22*Setup!$G$6*Setup!$D$11))</f>
        <v>EMPTY</v>
      </c>
      <c r="E1393" s="31">
        <f>IF(Setup!$H$2=0,-1,IF(A1393=0,-1,A1393*1/(Setup!$G$6)))</f>
        <v>-1</v>
      </c>
      <c r="F1393" s="31"/>
    </row>
    <row r="1394" spans="3:6" ht="15.75" x14ac:dyDescent="0.25">
      <c r="C1394" s="29" t="str">
        <f>IF(B1394=0,"EMPTY",Setup!$D$11*((PI()*2*Setup!$B$22*A1394*B1394)/33000))</f>
        <v>EMPTY</v>
      </c>
      <c r="D1394" s="30" t="str">
        <f>IF(Setup!$H$2=0,"EMPTY",IF(B1394=0,"EMPTY",B1394*Setup!$B$22*Setup!$G$6*Setup!$D$11))</f>
        <v>EMPTY</v>
      </c>
      <c r="E1394" s="31">
        <f>IF(Setup!$H$2=0,-1,IF(A1394=0,-1,A1394*1/(Setup!$G$6)))</f>
        <v>-1</v>
      </c>
      <c r="F1394" s="31"/>
    </row>
    <row r="1395" spans="3:6" ht="15.75" x14ac:dyDescent="0.25">
      <c r="C1395" s="29" t="str">
        <f>IF(B1395=0,"EMPTY",Setup!$D$11*((PI()*2*Setup!$B$22*A1395*B1395)/33000))</f>
        <v>EMPTY</v>
      </c>
      <c r="D1395" s="30" t="str">
        <f>IF(Setup!$H$2=0,"EMPTY",IF(B1395=0,"EMPTY",B1395*Setup!$B$22*Setup!$G$6*Setup!$D$11))</f>
        <v>EMPTY</v>
      </c>
      <c r="E1395" s="31">
        <f>IF(Setup!$H$2=0,-1,IF(A1395=0,-1,A1395*1/(Setup!$G$6)))</f>
        <v>-1</v>
      </c>
      <c r="F1395" s="31"/>
    </row>
    <row r="1396" spans="3:6" ht="15.75" x14ac:dyDescent="0.25">
      <c r="C1396" s="29" t="str">
        <f>IF(B1396=0,"EMPTY",Setup!$D$11*((PI()*2*Setup!$B$22*A1396*B1396)/33000))</f>
        <v>EMPTY</v>
      </c>
      <c r="D1396" s="30" t="str">
        <f>IF(Setup!$H$2=0,"EMPTY",IF(B1396=0,"EMPTY",B1396*Setup!$B$22*Setup!$G$6*Setup!$D$11))</f>
        <v>EMPTY</v>
      </c>
      <c r="E1396" s="31">
        <f>IF(Setup!$H$2=0,-1,IF(A1396=0,-1,A1396*1/(Setup!$G$6)))</f>
        <v>-1</v>
      </c>
      <c r="F1396" s="31"/>
    </row>
    <row r="1397" spans="3:6" ht="15.75" x14ac:dyDescent="0.25">
      <c r="C1397" s="29" t="str">
        <f>IF(B1397=0,"EMPTY",Setup!$D$11*((PI()*2*Setup!$B$22*A1397*B1397)/33000))</f>
        <v>EMPTY</v>
      </c>
      <c r="D1397" s="30" t="str">
        <f>IF(Setup!$H$2=0,"EMPTY",IF(B1397=0,"EMPTY",B1397*Setup!$B$22*Setup!$G$6*Setup!$D$11))</f>
        <v>EMPTY</v>
      </c>
      <c r="E1397" s="31">
        <f>IF(Setup!$H$2=0,-1,IF(A1397=0,-1,A1397*1/(Setup!$G$6)))</f>
        <v>-1</v>
      </c>
      <c r="F1397" s="31"/>
    </row>
    <row r="1398" spans="3:6" ht="15.75" x14ac:dyDescent="0.25">
      <c r="C1398" s="29" t="str">
        <f>IF(B1398=0,"EMPTY",Setup!$D$11*((PI()*2*Setup!$B$22*A1398*B1398)/33000))</f>
        <v>EMPTY</v>
      </c>
      <c r="D1398" s="30" t="str">
        <f>IF(Setup!$H$2=0,"EMPTY",IF(B1398=0,"EMPTY",B1398*Setup!$B$22*Setup!$G$6*Setup!$D$11))</f>
        <v>EMPTY</v>
      </c>
      <c r="E1398" s="31">
        <f>IF(Setup!$H$2=0,-1,IF(A1398=0,-1,A1398*1/(Setup!$G$6)))</f>
        <v>-1</v>
      </c>
      <c r="F1398" s="31"/>
    </row>
    <row r="1399" spans="3:6" ht="15.75" x14ac:dyDescent="0.25">
      <c r="C1399" s="29" t="str">
        <f>IF(B1399=0,"EMPTY",Setup!$D$11*((PI()*2*Setup!$B$22*A1399*B1399)/33000))</f>
        <v>EMPTY</v>
      </c>
      <c r="D1399" s="30" t="str">
        <f>IF(Setup!$H$2=0,"EMPTY",IF(B1399=0,"EMPTY",B1399*Setup!$B$22*Setup!$G$6*Setup!$D$11))</f>
        <v>EMPTY</v>
      </c>
      <c r="E1399" s="31">
        <f>IF(Setup!$H$2=0,-1,IF(A1399=0,-1,A1399*1/(Setup!$G$6)))</f>
        <v>-1</v>
      </c>
      <c r="F1399" s="31"/>
    </row>
    <row r="1400" spans="3:6" ht="15.75" x14ac:dyDescent="0.25">
      <c r="C1400" s="29" t="str">
        <f>IF(B1400=0,"EMPTY",Setup!$D$11*((PI()*2*Setup!$B$22*A1400*B1400)/33000))</f>
        <v>EMPTY</v>
      </c>
      <c r="D1400" s="30" t="str">
        <f>IF(Setup!$H$2=0,"EMPTY",IF(B1400=0,"EMPTY",B1400*Setup!$B$22*Setup!$G$6*Setup!$D$11))</f>
        <v>EMPTY</v>
      </c>
      <c r="E1400" s="31">
        <f>IF(Setup!$H$2=0,-1,IF(A1400=0,-1,A1400*1/(Setup!$G$6)))</f>
        <v>-1</v>
      </c>
      <c r="F1400" s="31"/>
    </row>
    <row r="1401" spans="3:6" ht="15.75" x14ac:dyDescent="0.25">
      <c r="C1401" s="29" t="str">
        <f>IF(B1401=0,"EMPTY",Setup!$D$11*((PI()*2*Setup!$B$22*A1401*B1401)/33000))</f>
        <v>EMPTY</v>
      </c>
      <c r="D1401" s="30" t="str">
        <f>IF(Setup!$H$2=0,"EMPTY",IF(B1401=0,"EMPTY",B1401*Setup!$B$22*Setup!$G$6*Setup!$D$11))</f>
        <v>EMPTY</v>
      </c>
      <c r="E1401" s="31">
        <f>IF(Setup!$H$2=0,-1,IF(A1401=0,-1,A1401*1/(Setup!$G$6)))</f>
        <v>-1</v>
      </c>
      <c r="F1401" s="31"/>
    </row>
    <row r="1402" spans="3:6" ht="15.75" x14ac:dyDescent="0.25">
      <c r="C1402" s="29" t="str">
        <f>IF(B1402=0,"EMPTY",Setup!$D$11*((PI()*2*Setup!$B$22*A1402*B1402)/33000))</f>
        <v>EMPTY</v>
      </c>
      <c r="D1402" s="30" t="str">
        <f>IF(Setup!$H$2=0,"EMPTY",IF(B1402=0,"EMPTY",B1402*Setup!$B$22*Setup!$G$6*Setup!$D$11))</f>
        <v>EMPTY</v>
      </c>
      <c r="E1402" s="31">
        <f>IF(Setup!$H$2=0,-1,IF(A1402=0,-1,A1402*1/(Setup!$G$6)))</f>
        <v>-1</v>
      </c>
      <c r="F1402" s="31"/>
    </row>
    <row r="1403" spans="3:6" ht="15.75" x14ac:dyDescent="0.25">
      <c r="C1403" s="29" t="str">
        <f>IF(B1403=0,"EMPTY",Setup!$D$11*((PI()*2*Setup!$B$22*A1403*B1403)/33000))</f>
        <v>EMPTY</v>
      </c>
      <c r="D1403" s="30" t="str">
        <f>IF(Setup!$H$2=0,"EMPTY",IF(B1403=0,"EMPTY",B1403*Setup!$B$22*Setup!$G$6*Setup!$D$11))</f>
        <v>EMPTY</v>
      </c>
      <c r="E1403" s="31">
        <f>IF(Setup!$H$2=0,-1,IF(A1403=0,-1,A1403*1/(Setup!$G$6)))</f>
        <v>-1</v>
      </c>
      <c r="F1403" s="31"/>
    </row>
    <row r="1404" spans="3:6" ht="15.75" x14ac:dyDescent="0.25">
      <c r="C1404" s="29" t="str">
        <f>IF(B1404=0,"EMPTY",Setup!$D$11*((PI()*2*Setup!$B$22*A1404*B1404)/33000))</f>
        <v>EMPTY</v>
      </c>
      <c r="D1404" s="30" t="str">
        <f>IF(Setup!$H$2=0,"EMPTY",IF(B1404=0,"EMPTY",B1404*Setup!$B$22*Setup!$G$6*Setup!$D$11))</f>
        <v>EMPTY</v>
      </c>
      <c r="E1404" s="31">
        <f>IF(Setup!$H$2=0,-1,IF(A1404=0,-1,A1404*1/(Setup!$G$6)))</f>
        <v>-1</v>
      </c>
      <c r="F1404" s="31"/>
    </row>
    <row r="1405" spans="3:6" ht="15.75" x14ac:dyDescent="0.25">
      <c r="C1405" s="29" t="str">
        <f>IF(B1405=0,"EMPTY",Setup!$D$11*((PI()*2*Setup!$B$22*A1405*B1405)/33000))</f>
        <v>EMPTY</v>
      </c>
      <c r="D1405" s="30" t="str">
        <f>IF(Setup!$H$2=0,"EMPTY",IF(B1405=0,"EMPTY",B1405*Setup!$B$22*Setup!$G$6*Setup!$D$11))</f>
        <v>EMPTY</v>
      </c>
      <c r="E1405" s="31">
        <f>IF(Setup!$H$2=0,-1,IF(A1405=0,-1,A1405*1/(Setup!$G$6)))</f>
        <v>-1</v>
      </c>
      <c r="F1405" s="31"/>
    </row>
    <row r="1406" spans="3:6" ht="15.75" x14ac:dyDescent="0.25">
      <c r="C1406" s="29" t="str">
        <f>IF(B1406=0,"EMPTY",Setup!$D$11*((PI()*2*Setup!$B$22*A1406*B1406)/33000))</f>
        <v>EMPTY</v>
      </c>
      <c r="D1406" s="30" t="str">
        <f>IF(Setup!$H$2=0,"EMPTY",IF(B1406=0,"EMPTY",B1406*Setup!$B$22*Setup!$G$6*Setup!$D$11))</f>
        <v>EMPTY</v>
      </c>
      <c r="E1406" s="31">
        <f>IF(Setup!$H$2=0,-1,IF(A1406=0,-1,A1406*1/(Setup!$G$6)))</f>
        <v>-1</v>
      </c>
      <c r="F1406" s="31"/>
    </row>
    <row r="1407" spans="3:6" ht="15.75" x14ac:dyDescent="0.25">
      <c r="C1407" s="29" t="str">
        <f>IF(B1407=0,"EMPTY",Setup!$D$11*((PI()*2*Setup!$B$22*A1407*B1407)/33000))</f>
        <v>EMPTY</v>
      </c>
      <c r="D1407" s="30" t="str">
        <f>IF(Setup!$H$2=0,"EMPTY",IF(B1407=0,"EMPTY",B1407*Setup!$B$22*Setup!$G$6*Setup!$D$11))</f>
        <v>EMPTY</v>
      </c>
      <c r="E1407" s="31">
        <f>IF(Setup!$H$2=0,-1,IF(A1407=0,-1,A1407*1/(Setup!$G$6)))</f>
        <v>-1</v>
      </c>
      <c r="F1407" s="31"/>
    </row>
    <row r="1408" spans="3:6" ht="15.75" x14ac:dyDescent="0.25">
      <c r="C1408" s="29" t="str">
        <f>IF(B1408=0,"EMPTY",Setup!$D$11*((PI()*2*Setup!$B$22*A1408*B1408)/33000))</f>
        <v>EMPTY</v>
      </c>
      <c r="D1408" s="30" t="str">
        <f>IF(Setup!$H$2=0,"EMPTY",IF(B1408=0,"EMPTY",B1408*Setup!$B$22*Setup!$G$6*Setup!$D$11))</f>
        <v>EMPTY</v>
      </c>
      <c r="E1408" s="31">
        <f>IF(Setup!$H$2=0,-1,IF(A1408=0,-1,A1408*1/(Setup!$G$6)))</f>
        <v>-1</v>
      </c>
      <c r="F1408" s="31"/>
    </row>
    <row r="1409" spans="3:6" ht="15.75" x14ac:dyDescent="0.25">
      <c r="C1409" s="29" t="str">
        <f>IF(B1409=0,"EMPTY",Setup!$D$11*((PI()*2*Setup!$B$22*A1409*B1409)/33000))</f>
        <v>EMPTY</v>
      </c>
      <c r="D1409" s="30" t="str">
        <f>IF(Setup!$H$2=0,"EMPTY",IF(B1409=0,"EMPTY",B1409*Setup!$B$22*Setup!$G$6*Setup!$D$11))</f>
        <v>EMPTY</v>
      </c>
      <c r="E1409" s="31">
        <f>IF(Setup!$H$2=0,-1,IF(A1409=0,-1,A1409*1/(Setup!$G$6)))</f>
        <v>-1</v>
      </c>
      <c r="F1409" s="31"/>
    </row>
    <row r="1410" spans="3:6" ht="15.75" x14ac:dyDescent="0.25">
      <c r="C1410" s="29" t="str">
        <f>IF(B1410=0,"EMPTY",Setup!$D$11*((PI()*2*Setup!$B$22*A1410*B1410)/33000))</f>
        <v>EMPTY</v>
      </c>
      <c r="D1410" s="30" t="str">
        <f>IF(Setup!$H$2=0,"EMPTY",IF(B1410=0,"EMPTY",B1410*Setup!$B$22*Setup!$G$6*Setup!$D$11))</f>
        <v>EMPTY</v>
      </c>
      <c r="E1410" s="31">
        <f>IF(Setup!$H$2=0,-1,IF(A1410=0,-1,A1410*1/(Setup!$G$6)))</f>
        <v>-1</v>
      </c>
      <c r="F1410" s="31"/>
    </row>
    <row r="1411" spans="3:6" ht="15.75" x14ac:dyDescent="0.25">
      <c r="C1411" s="29" t="str">
        <f>IF(B1411=0,"EMPTY",Setup!$D$11*((PI()*2*Setup!$B$22*A1411*B1411)/33000))</f>
        <v>EMPTY</v>
      </c>
      <c r="D1411" s="30" t="str">
        <f>IF(Setup!$H$2=0,"EMPTY",IF(B1411=0,"EMPTY",B1411*Setup!$B$22*Setup!$G$6*Setup!$D$11))</f>
        <v>EMPTY</v>
      </c>
      <c r="E1411" s="31">
        <f>IF(Setup!$H$2=0,-1,IF(A1411=0,-1,A1411*1/(Setup!$G$6)))</f>
        <v>-1</v>
      </c>
      <c r="F1411" s="31"/>
    </row>
    <row r="1412" spans="3:6" ht="15.75" x14ac:dyDescent="0.25">
      <c r="C1412" s="29" t="str">
        <f>IF(B1412=0,"EMPTY",Setup!$D$11*((PI()*2*Setup!$B$22*A1412*B1412)/33000))</f>
        <v>EMPTY</v>
      </c>
      <c r="D1412" s="30" t="str">
        <f>IF(Setup!$H$2=0,"EMPTY",IF(B1412=0,"EMPTY",B1412*Setup!$B$22*Setup!$G$6*Setup!$D$11))</f>
        <v>EMPTY</v>
      </c>
      <c r="E1412" s="31">
        <f>IF(Setup!$H$2=0,-1,IF(A1412=0,-1,A1412*1/(Setup!$G$6)))</f>
        <v>-1</v>
      </c>
      <c r="F1412" s="31"/>
    </row>
    <row r="1413" spans="3:6" ht="15.75" x14ac:dyDescent="0.25">
      <c r="C1413" s="29" t="str">
        <f>IF(B1413=0,"EMPTY",Setup!$D$11*((PI()*2*Setup!$B$22*A1413*B1413)/33000))</f>
        <v>EMPTY</v>
      </c>
      <c r="D1413" s="30" t="str">
        <f>IF(Setup!$H$2=0,"EMPTY",IF(B1413=0,"EMPTY",B1413*Setup!$B$22*Setup!$G$6*Setup!$D$11))</f>
        <v>EMPTY</v>
      </c>
      <c r="E1413" s="31">
        <f>IF(Setup!$H$2=0,-1,IF(A1413=0,-1,A1413*1/(Setup!$G$6)))</f>
        <v>-1</v>
      </c>
      <c r="F1413" s="31"/>
    </row>
    <row r="1414" spans="3:6" ht="15.75" x14ac:dyDescent="0.25">
      <c r="C1414" s="29" t="str">
        <f>IF(B1414=0,"EMPTY",Setup!$D$11*((PI()*2*Setup!$B$22*A1414*B1414)/33000))</f>
        <v>EMPTY</v>
      </c>
      <c r="D1414" s="30" t="str">
        <f>IF(Setup!$H$2=0,"EMPTY",IF(B1414=0,"EMPTY",B1414*Setup!$B$22*Setup!$G$6*Setup!$D$11))</f>
        <v>EMPTY</v>
      </c>
      <c r="E1414" s="31">
        <f>IF(Setup!$H$2=0,-1,IF(A1414=0,-1,A1414*1/(Setup!$G$6)))</f>
        <v>-1</v>
      </c>
      <c r="F1414" s="31"/>
    </row>
    <row r="1415" spans="3:6" ht="15.75" x14ac:dyDescent="0.25">
      <c r="C1415" s="29" t="str">
        <f>IF(B1415=0,"EMPTY",Setup!$D$11*((PI()*2*Setup!$B$22*A1415*B1415)/33000))</f>
        <v>EMPTY</v>
      </c>
      <c r="D1415" s="30" t="str">
        <f>IF(Setup!$H$2=0,"EMPTY",IF(B1415=0,"EMPTY",B1415*Setup!$B$22*Setup!$G$6*Setup!$D$11))</f>
        <v>EMPTY</v>
      </c>
      <c r="E1415" s="31">
        <f>IF(Setup!$H$2=0,-1,IF(A1415=0,-1,A1415*1/(Setup!$G$6)))</f>
        <v>-1</v>
      </c>
      <c r="F1415" s="31"/>
    </row>
    <row r="1416" spans="3:6" ht="15.75" x14ac:dyDescent="0.25">
      <c r="C1416" s="29" t="str">
        <f>IF(B1416=0,"EMPTY",Setup!$D$11*((PI()*2*Setup!$B$22*A1416*B1416)/33000))</f>
        <v>EMPTY</v>
      </c>
      <c r="D1416" s="30" t="str">
        <f>IF(Setup!$H$2=0,"EMPTY",IF(B1416=0,"EMPTY",B1416*Setup!$B$22*Setup!$G$6*Setup!$D$11))</f>
        <v>EMPTY</v>
      </c>
      <c r="E1416" s="31">
        <f>IF(Setup!$H$2=0,-1,IF(A1416=0,-1,A1416*1/(Setup!$G$6)))</f>
        <v>-1</v>
      </c>
      <c r="F1416" s="31"/>
    </row>
    <row r="1417" spans="3:6" ht="15.75" x14ac:dyDescent="0.25">
      <c r="C1417" s="29" t="str">
        <f>IF(B1417=0,"EMPTY",Setup!$D$11*((PI()*2*Setup!$B$22*A1417*B1417)/33000))</f>
        <v>EMPTY</v>
      </c>
      <c r="D1417" s="30" t="str">
        <f>IF(Setup!$H$2=0,"EMPTY",IF(B1417=0,"EMPTY",B1417*Setup!$B$22*Setup!$G$6*Setup!$D$11))</f>
        <v>EMPTY</v>
      </c>
      <c r="E1417" s="31">
        <f>IF(Setup!$H$2=0,-1,IF(A1417=0,-1,A1417*1/(Setup!$G$6)))</f>
        <v>-1</v>
      </c>
      <c r="F1417" s="31"/>
    </row>
    <row r="1418" spans="3:6" ht="15.75" x14ac:dyDescent="0.25">
      <c r="C1418" s="29" t="str">
        <f>IF(B1418=0,"EMPTY",Setup!$D$11*((PI()*2*Setup!$B$22*A1418*B1418)/33000))</f>
        <v>EMPTY</v>
      </c>
      <c r="D1418" s="30" t="str">
        <f>IF(Setup!$H$2=0,"EMPTY",IF(B1418=0,"EMPTY",B1418*Setup!$B$22*Setup!$G$6*Setup!$D$11))</f>
        <v>EMPTY</v>
      </c>
      <c r="E1418" s="31">
        <f>IF(Setup!$H$2=0,-1,IF(A1418=0,-1,A1418*1/(Setup!$G$6)))</f>
        <v>-1</v>
      </c>
      <c r="F1418" s="31"/>
    </row>
    <row r="1419" spans="3:6" ht="15.75" x14ac:dyDescent="0.25">
      <c r="C1419" s="29" t="str">
        <f>IF(B1419=0,"EMPTY",Setup!$D$11*((PI()*2*Setup!$B$22*A1419*B1419)/33000))</f>
        <v>EMPTY</v>
      </c>
      <c r="D1419" s="30" t="str">
        <f>IF(Setup!$H$2=0,"EMPTY",IF(B1419=0,"EMPTY",B1419*Setup!$B$22*Setup!$G$6*Setup!$D$11))</f>
        <v>EMPTY</v>
      </c>
      <c r="E1419" s="31">
        <f>IF(Setup!$H$2=0,-1,IF(A1419=0,-1,A1419*1/(Setup!$G$6)))</f>
        <v>-1</v>
      </c>
      <c r="F1419" s="31"/>
    </row>
    <row r="1420" spans="3:6" ht="15.75" x14ac:dyDescent="0.25">
      <c r="C1420" s="29" t="str">
        <f>IF(B1420=0,"EMPTY",Setup!$D$11*((PI()*2*Setup!$B$22*A1420*B1420)/33000))</f>
        <v>EMPTY</v>
      </c>
      <c r="D1420" s="30" t="str">
        <f>IF(Setup!$H$2=0,"EMPTY",IF(B1420=0,"EMPTY",B1420*Setup!$B$22*Setup!$G$6*Setup!$D$11))</f>
        <v>EMPTY</v>
      </c>
      <c r="E1420" s="31">
        <f>IF(Setup!$H$2=0,-1,IF(A1420=0,-1,A1420*1/(Setup!$G$6)))</f>
        <v>-1</v>
      </c>
      <c r="F1420" s="31"/>
    </row>
    <row r="1421" spans="3:6" ht="15.75" x14ac:dyDescent="0.25">
      <c r="C1421" s="29" t="str">
        <f>IF(B1421=0,"EMPTY",Setup!$D$11*((PI()*2*Setup!$B$22*A1421*B1421)/33000))</f>
        <v>EMPTY</v>
      </c>
      <c r="D1421" s="30" t="str">
        <f>IF(Setup!$H$2=0,"EMPTY",IF(B1421=0,"EMPTY",B1421*Setup!$B$22*Setup!$G$6*Setup!$D$11))</f>
        <v>EMPTY</v>
      </c>
      <c r="E1421" s="31">
        <f>IF(Setup!$H$2=0,-1,IF(A1421=0,-1,A1421*1/(Setup!$G$6)))</f>
        <v>-1</v>
      </c>
      <c r="F1421" s="31"/>
    </row>
    <row r="1422" spans="3:6" ht="15.75" x14ac:dyDescent="0.25">
      <c r="C1422" s="29" t="str">
        <f>IF(B1422=0,"EMPTY",Setup!$D$11*((PI()*2*Setup!$B$22*A1422*B1422)/33000))</f>
        <v>EMPTY</v>
      </c>
      <c r="D1422" s="30" t="str">
        <f>IF(Setup!$H$2=0,"EMPTY",IF(B1422=0,"EMPTY",B1422*Setup!$B$22*Setup!$G$6*Setup!$D$11))</f>
        <v>EMPTY</v>
      </c>
      <c r="E1422" s="31">
        <f>IF(Setup!$H$2=0,-1,IF(A1422=0,-1,A1422*1/(Setup!$G$6)))</f>
        <v>-1</v>
      </c>
      <c r="F1422" s="31"/>
    </row>
    <row r="1423" spans="3:6" ht="15.75" x14ac:dyDescent="0.25">
      <c r="C1423" s="29" t="str">
        <f>IF(B1423=0,"EMPTY",Setup!$D$11*((PI()*2*Setup!$B$22*A1423*B1423)/33000))</f>
        <v>EMPTY</v>
      </c>
      <c r="D1423" s="30" t="str">
        <f>IF(Setup!$H$2=0,"EMPTY",IF(B1423=0,"EMPTY",B1423*Setup!$B$22*Setup!$G$6*Setup!$D$11))</f>
        <v>EMPTY</v>
      </c>
      <c r="E1423" s="31">
        <f>IF(Setup!$H$2=0,-1,IF(A1423=0,-1,A1423*1/(Setup!$G$6)))</f>
        <v>-1</v>
      </c>
      <c r="F1423" s="31"/>
    </row>
    <row r="1424" spans="3:6" ht="15.75" x14ac:dyDescent="0.25">
      <c r="C1424" s="29" t="str">
        <f>IF(B1424=0,"EMPTY",Setup!$D$11*((PI()*2*Setup!$B$22*A1424*B1424)/33000))</f>
        <v>EMPTY</v>
      </c>
      <c r="D1424" s="30" t="str">
        <f>IF(Setup!$H$2=0,"EMPTY",IF(B1424=0,"EMPTY",B1424*Setup!$B$22*Setup!$G$6*Setup!$D$11))</f>
        <v>EMPTY</v>
      </c>
      <c r="E1424" s="31">
        <f>IF(Setup!$H$2=0,-1,IF(A1424=0,-1,A1424*1/(Setup!$G$6)))</f>
        <v>-1</v>
      </c>
      <c r="F1424" s="31"/>
    </row>
    <row r="1425" spans="3:6" ht="15.75" x14ac:dyDescent="0.25">
      <c r="C1425" s="29" t="str">
        <f>IF(B1425=0,"EMPTY",Setup!$D$11*((PI()*2*Setup!$B$22*A1425*B1425)/33000))</f>
        <v>EMPTY</v>
      </c>
      <c r="D1425" s="30" t="str">
        <f>IF(Setup!$H$2=0,"EMPTY",IF(B1425=0,"EMPTY",B1425*Setup!$B$22*Setup!$G$6*Setup!$D$11))</f>
        <v>EMPTY</v>
      </c>
      <c r="E1425" s="31">
        <f>IF(Setup!$H$2=0,-1,IF(A1425=0,-1,A1425*1/(Setup!$G$6)))</f>
        <v>-1</v>
      </c>
      <c r="F1425" s="31"/>
    </row>
    <row r="1426" spans="3:6" ht="15.75" x14ac:dyDescent="0.25">
      <c r="C1426" s="29" t="str">
        <f>IF(B1426=0,"EMPTY",Setup!$D$11*((PI()*2*Setup!$B$22*A1426*B1426)/33000))</f>
        <v>EMPTY</v>
      </c>
      <c r="D1426" s="30" t="str">
        <f>IF(Setup!$H$2=0,"EMPTY",IF(B1426=0,"EMPTY",B1426*Setup!$B$22*Setup!$G$6*Setup!$D$11))</f>
        <v>EMPTY</v>
      </c>
      <c r="E1426" s="31">
        <f>IF(Setup!$H$2=0,-1,IF(A1426=0,-1,A1426*1/(Setup!$G$6)))</f>
        <v>-1</v>
      </c>
      <c r="F1426" s="31"/>
    </row>
    <row r="1427" spans="3:6" ht="15.75" x14ac:dyDescent="0.25">
      <c r="C1427" s="29" t="str">
        <f>IF(B1427=0,"EMPTY",Setup!$D$11*((PI()*2*Setup!$B$22*A1427*B1427)/33000))</f>
        <v>EMPTY</v>
      </c>
      <c r="D1427" s="30" t="str">
        <f>IF(Setup!$H$2=0,"EMPTY",IF(B1427=0,"EMPTY",B1427*Setup!$B$22*Setup!$G$6*Setup!$D$11))</f>
        <v>EMPTY</v>
      </c>
      <c r="E1427" s="31">
        <f>IF(Setup!$H$2=0,-1,IF(A1427=0,-1,A1427*1/(Setup!$G$6)))</f>
        <v>-1</v>
      </c>
      <c r="F1427" s="31"/>
    </row>
    <row r="1428" spans="3:6" ht="15.75" x14ac:dyDescent="0.25">
      <c r="C1428" s="29" t="str">
        <f>IF(B1428=0,"EMPTY",Setup!$D$11*((PI()*2*Setup!$B$22*A1428*B1428)/33000))</f>
        <v>EMPTY</v>
      </c>
      <c r="D1428" s="30" t="str">
        <f>IF(Setup!$H$2=0,"EMPTY",IF(B1428=0,"EMPTY",B1428*Setup!$B$22*Setup!$G$6*Setup!$D$11))</f>
        <v>EMPTY</v>
      </c>
      <c r="E1428" s="31">
        <f>IF(Setup!$H$2=0,-1,IF(A1428=0,-1,A1428*1/(Setup!$G$6)))</f>
        <v>-1</v>
      </c>
      <c r="F1428" s="31"/>
    </row>
    <row r="1429" spans="3:6" ht="15.75" x14ac:dyDescent="0.25">
      <c r="C1429" s="29" t="str">
        <f>IF(B1429=0,"EMPTY",Setup!$D$11*((PI()*2*Setup!$B$22*A1429*B1429)/33000))</f>
        <v>EMPTY</v>
      </c>
      <c r="D1429" s="30" t="str">
        <f>IF(Setup!$H$2=0,"EMPTY",IF(B1429=0,"EMPTY",B1429*Setup!$B$22*Setup!$G$6*Setup!$D$11))</f>
        <v>EMPTY</v>
      </c>
      <c r="E1429" s="31">
        <f>IF(Setup!$H$2=0,-1,IF(A1429=0,-1,A1429*1/(Setup!$G$6)))</f>
        <v>-1</v>
      </c>
      <c r="F1429" s="31"/>
    </row>
    <row r="1430" spans="3:6" ht="15.75" x14ac:dyDescent="0.25">
      <c r="C1430" s="29" t="str">
        <f>IF(B1430=0,"EMPTY",Setup!$D$11*((PI()*2*Setup!$B$22*A1430*B1430)/33000))</f>
        <v>EMPTY</v>
      </c>
      <c r="D1430" s="30" t="str">
        <f>IF(Setup!$H$2=0,"EMPTY",IF(B1430=0,"EMPTY",B1430*Setup!$B$22*Setup!$G$6*Setup!$D$11))</f>
        <v>EMPTY</v>
      </c>
      <c r="E1430" s="31">
        <f>IF(Setup!$H$2=0,-1,IF(A1430=0,-1,A1430*1/(Setup!$G$6)))</f>
        <v>-1</v>
      </c>
      <c r="F1430" s="31"/>
    </row>
    <row r="1431" spans="3:6" ht="15.75" x14ac:dyDescent="0.25">
      <c r="C1431" s="29" t="str">
        <f>IF(B1431=0,"EMPTY",Setup!$D$11*((PI()*2*Setup!$B$22*A1431*B1431)/33000))</f>
        <v>EMPTY</v>
      </c>
      <c r="D1431" s="30" t="str">
        <f>IF(Setup!$H$2=0,"EMPTY",IF(B1431=0,"EMPTY",B1431*Setup!$B$22*Setup!$G$6*Setup!$D$11))</f>
        <v>EMPTY</v>
      </c>
      <c r="E1431" s="31">
        <f>IF(Setup!$H$2=0,-1,IF(A1431=0,-1,A1431*1/(Setup!$G$6)))</f>
        <v>-1</v>
      </c>
      <c r="F1431" s="31"/>
    </row>
    <row r="1432" spans="3:6" ht="15.75" x14ac:dyDescent="0.25">
      <c r="C1432" s="29" t="str">
        <f>IF(B1432=0,"EMPTY",Setup!$D$11*((PI()*2*Setup!$B$22*A1432*B1432)/33000))</f>
        <v>EMPTY</v>
      </c>
      <c r="D1432" s="30" t="str">
        <f>IF(Setup!$H$2=0,"EMPTY",IF(B1432=0,"EMPTY",B1432*Setup!$B$22*Setup!$G$6*Setup!$D$11))</f>
        <v>EMPTY</v>
      </c>
      <c r="E1432" s="31">
        <f>IF(Setup!$H$2=0,-1,IF(A1432=0,-1,A1432*1/(Setup!$G$6)))</f>
        <v>-1</v>
      </c>
      <c r="F1432" s="31"/>
    </row>
    <row r="1433" spans="3:6" ht="15.75" x14ac:dyDescent="0.25">
      <c r="C1433" s="29" t="str">
        <f>IF(B1433=0,"EMPTY",Setup!$D$11*((PI()*2*Setup!$B$22*A1433*B1433)/33000))</f>
        <v>EMPTY</v>
      </c>
      <c r="D1433" s="30" t="str">
        <f>IF(Setup!$H$2=0,"EMPTY",IF(B1433=0,"EMPTY",B1433*Setup!$B$22*Setup!$G$6*Setup!$D$11))</f>
        <v>EMPTY</v>
      </c>
      <c r="E1433" s="31">
        <f>IF(Setup!$H$2=0,-1,IF(A1433=0,-1,A1433*1/(Setup!$G$6)))</f>
        <v>-1</v>
      </c>
      <c r="F1433" s="31"/>
    </row>
    <row r="1434" spans="3:6" ht="15.75" x14ac:dyDescent="0.25">
      <c r="C1434" s="29" t="str">
        <f>IF(B1434=0,"EMPTY",Setup!$D$11*((PI()*2*Setup!$B$22*A1434*B1434)/33000))</f>
        <v>EMPTY</v>
      </c>
      <c r="D1434" s="30" t="str">
        <f>IF(Setup!$H$2=0,"EMPTY",IF(B1434=0,"EMPTY",B1434*Setup!$B$22*Setup!$G$6*Setup!$D$11))</f>
        <v>EMPTY</v>
      </c>
      <c r="E1434" s="31">
        <f>IF(Setup!$H$2=0,-1,IF(A1434=0,-1,A1434*1/(Setup!$G$6)))</f>
        <v>-1</v>
      </c>
      <c r="F1434" s="31"/>
    </row>
    <row r="1435" spans="3:6" ht="15.75" x14ac:dyDescent="0.25">
      <c r="C1435" s="29" t="str">
        <f>IF(B1435=0,"EMPTY",Setup!$D$11*((PI()*2*Setup!$B$22*A1435*B1435)/33000))</f>
        <v>EMPTY</v>
      </c>
      <c r="D1435" s="30" t="str">
        <f>IF(Setup!$H$2=0,"EMPTY",IF(B1435=0,"EMPTY",B1435*Setup!$B$22*Setup!$G$6*Setup!$D$11))</f>
        <v>EMPTY</v>
      </c>
      <c r="E1435" s="31">
        <f>IF(Setup!$H$2=0,-1,IF(A1435=0,-1,A1435*1/(Setup!$G$6)))</f>
        <v>-1</v>
      </c>
      <c r="F1435" s="31"/>
    </row>
    <row r="1436" spans="3:6" ht="15.75" x14ac:dyDescent="0.25">
      <c r="C1436" s="29" t="str">
        <f>IF(B1436=0,"EMPTY",Setup!$D$11*((PI()*2*Setup!$B$22*A1436*B1436)/33000))</f>
        <v>EMPTY</v>
      </c>
      <c r="D1436" s="30" t="str">
        <f>IF(Setup!$H$2=0,"EMPTY",IF(B1436=0,"EMPTY",B1436*Setup!$B$22*Setup!$G$6*Setup!$D$11))</f>
        <v>EMPTY</v>
      </c>
      <c r="E1436" s="31">
        <f>IF(Setup!$H$2=0,-1,IF(A1436=0,-1,A1436*1/(Setup!$G$6)))</f>
        <v>-1</v>
      </c>
      <c r="F1436" s="31"/>
    </row>
    <row r="1437" spans="3:6" ht="15.75" x14ac:dyDescent="0.25">
      <c r="C1437" s="29" t="str">
        <f>IF(B1437=0,"EMPTY",Setup!$D$11*((PI()*2*Setup!$B$22*A1437*B1437)/33000))</f>
        <v>EMPTY</v>
      </c>
      <c r="D1437" s="30" t="str">
        <f>IF(Setup!$H$2=0,"EMPTY",IF(B1437=0,"EMPTY",B1437*Setup!$B$22*Setup!$G$6*Setup!$D$11))</f>
        <v>EMPTY</v>
      </c>
      <c r="E1437" s="31">
        <f>IF(Setup!$H$2=0,-1,IF(A1437=0,-1,A1437*1/(Setup!$G$6)))</f>
        <v>-1</v>
      </c>
      <c r="F1437" s="31"/>
    </row>
    <row r="1438" spans="3:6" ht="15.75" x14ac:dyDescent="0.25">
      <c r="C1438" s="29" t="str">
        <f>IF(B1438=0,"EMPTY",Setup!$D$11*((PI()*2*Setup!$B$22*A1438*B1438)/33000))</f>
        <v>EMPTY</v>
      </c>
      <c r="D1438" s="30" t="str">
        <f>IF(Setup!$H$2=0,"EMPTY",IF(B1438=0,"EMPTY",B1438*Setup!$B$22*Setup!$G$6*Setup!$D$11))</f>
        <v>EMPTY</v>
      </c>
      <c r="E1438" s="31">
        <f>IF(Setup!$H$2=0,-1,IF(A1438=0,-1,A1438*1/(Setup!$G$6)))</f>
        <v>-1</v>
      </c>
      <c r="F1438" s="31"/>
    </row>
    <row r="1439" spans="3:6" ht="15.75" x14ac:dyDescent="0.25">
      <c r="C1439" s="29" t="str">
        <f>IF(B1439=0,"EMPTY",Setup!$D$11*((PI()*2*Setup!$B$22*A1439*B1439)/33000))</f>
        <v>EMPTY</v>
      </c>
      <c r="D1439" s="30" t="str">
        <f>IF(Setup!$H$2=0,"EMPTY",IF(B1439=0,"EMPTY",B1439*Setup!$B$22*Setup!$G$6*Setup!$D$11))</f>
        <v>EMPTY</v>
      </c>
      <c r="E1439" s="31">
        <f>IF(Setup!$H$2=0,-1,IF(A1439=0,-1,A1439*1/(Setup!$G$6)))</f>
        <v>-1</v>
      </c>
      <c r="F1439" s="31"/>
    </row>
    <row r="1440" spans="3:6" ht="15.75" x14ac:dyDescent="0.25">
      <c r="C1440" s="29" t="str">
        <f>IF(B1440=0,"EMPTY",Setup!$D$11*((PI()*2*Setup!$B$22*A1440*B1440)/33000))</f>
        <v>EMPTY</v>
      </c>
      <c r="D1440" s="30" t="str">
        <f>IF(Setup!$H$2=0,"EMPTY",IF(B1440=0,"EMPTY",B1440*Setup!$B$22*Setup!$G$6*Setup!$D$11))</f>
        <v>EMPTY</v>
      </c>
      <c r="E1440" s="31">
        <f>IF(Setup!$H$2=0,-1,IF(A1440=0,-1,A1440*1/(Setup!$G$6)))</f>
        <v>-1</v>
      </c>
      <c r="F1440" s="31"/>
    </row>
    <row r="1441" spans="3:6" ht="15.75" x14ac:dyDescent="0.25">
      <c r="C1441" s="29" t="str">
        <f>IF(B1441=0,"EMPTY",Setup!$D$11*((PI()*2*Setup!$B$22*A1441*B1441)/33000))</f>
        <v>EMPTY</v>
      </c>
      <c r="D1441" s="30" t="str">
        <f>IF(Setup!$H$2=0,"EMPTY",IF(B1441=0,"EMPTY",B1441*Setup!$B$22*Setup!$G$6*Setup!$D$11))</f>
        <v>EMPTY</v>
      </c>
      <c r="E1441" s="31">
        <f>IF(Setup!$H$2=0,-1,IF(A1441=0,-1,A1441*1/(Setup!$G$6)))</f>
        <v>-1</v>
      </c>
      <c r="F1441" s="31"/>
    </row>
    <row r="1442" spans="3:6" ht="15.75" x14ac:dyDescent="0.25">
      <c r="C1442" s="29" t="str">
        <f>IF(B1442=0,"EMPTY",Setup!$D$11*((PI()*2*Setup!$B$22*A1442*B1442)/33000))</f>
        <v>EMPTY</v>
      </c>
      <c r="D1442" s="30" t="str">
        <f>IF(Setup!$H$2=0,"EMPTY",IF(B1442=0,"EMPTY",B1442*Setup!$B$22*Setup!$G$6*Setup!$D$11))</f>
        <v>EMPTY</v>
      </c>
      <c r="E1442" s="31">
        <f>IF(Setup!$H$2=0,-1,IF(A1442=0,-1,A1442*1/(Setup!$G$6)))</f>
        <v>-1</v>
      </c>
      <c r="F1442" s="31"/>
    </row>
    <row r="1443" spans="3:6" ht="15.75" x14ac:dyDescent="0.25">
      <c r="C1443" s="29" t="str">
        <f>IF(B1443=0,"EMPTY",Setup!$D$11*((PI()*2*Setup!$B$22*A1443*B1443)/33000))</f>
        <v>EMPTY</v>
      </c>
      <c r="D1443" s="30" t="str">
        <f>IF(Setup!$H$2=0,"EMPTY",IF(B1443=0,"EMPTY",B1443*Setup!$B$22*Setup!$G$6*Setup!$D$11))</f>
        <v>EMPTY</v>
      </c>
      <c r="E1443" s="31">
        <f>IF(Setup!$H$2=0,-1,IF(A1443=0,-1,A1443*1/(Setup!$G$6)))</f>
        <v>-1</v>
      </c>
      <c r="F1443" s="31"/>
    </row>
    <row r="1444" spans="3:6" ht="15.75" x14ac:dyDescent="0.25">
      <c r="C1444" s="29" t="str">
        <f>IF(B1444=0,"EMPTY",Setup!$D$11*((PI()*2*Setup!$B$22*A1444*B1444)/33000))</f>
        <v>EMPTY</v>
      </c>
      <c r="D1444" s="30" t="str">
        <f>IF(Setup!$H$2=0,"EMPTY",IF(B1444=0,"EMPTY",B1444*Setup!$B$22*Setup!$G$6*Setup!$D$11))</f>
        <v>EMPTY</v>
      </c>
      <c r="E1444" s="31">
        <f>IF(Setup!$H$2=0,-1,IF(A1444=0,-1,A1444*1/(Setup!$G$6)))</f>
        <v>-1</v>
      </c>
      <c r="F1444" s="31"/>
    </row>
    <row r="1445" spans="3:6" ht="15.75" x14ac:dyDescent="0.25">
      <c r="C1445" s="29" t="str">
        <f>IF(B1445=0,"EMPTY",Setup!$D$11*((PI()*2*Setup!$B$22*A1445*B1445)/33000))</f>
        <v>EMPTY</v>
      </c>
      <c r="D1445" s="30" t="str">
        <f>IF(Setup!$H$2=0,"EMPTY",IF(B1445=0,"EMPTY",B1445*Setup!$B$22*Setup!$G$6*Setup!$D$11))</f>
        <v>EMPTY</v>
      </c>
      <c r="E1445" s="31">
        <f>IF(Setup!$H$2=0,-1,IF(A1445=0,-1,A1445*1/(Setup!$G$6)))</f>
        <v>-1</v>
      </c>
      <c r="F1445" s="31"/>
    </row>
    <row r="1446" spans="3:6" ht="15.75" x14ac:dyDescent="0.25">
      <c r="C1446" s="29" t="str">
        <f>IF(B1446=0,"EMPTY",Setup!$D$11*((PI()*2*Setup!$B$22*A1446*B1446)/33000))</f>
        <v>EMPTY</v>
      </c>
      <c r="D1446" s="30" t="str">
        <f>IF(Setup!$H$2=0,"EMPTY",IF(B1446=0,"EMPTY",B1446*Setup!$B$22*Setup!$G$6*Setup!$D$11))</f>
        <v>EMPTY</v>
      </c>
      <c r="E1446" s="31">
        <f>IF(Setup!$H$2=0,-1,IF(A1446=0,-1,A1446*1/(Setup!$G$6)))</f>
        <v>-1</v>
      </c>
      <c r="F1446" s="31"/>
    </row>
    <row r="1447" spans="3:6" ht="15.75" x14ac:dyDescent="0.25">
      <c r="C1447" s="29" t="str">
        <f>IF(B1447=0,"EMPTY",Setup!$D$11*((PI()*2*Setup!$B$22*A1447*B1447)/33000))</f>
        <v>EMPTY</v>
      </c>
      <c r="D1447" s="30" t="str">
        <f>IF(Setup!$H$2=0,"EMPTY",IF(B1447=0,"EMPTY",B1447*Setup!$B$22*Setup!$G$6*Setup!$D$11))</f>
        <v>EMPTY</v>
      </c>
      <c r="E1447" s="31">
        <f>IF(Setup!$H$2=0,-1,IF(A1447=0,-1,A1447*1/(Setup!$G$6)))</f>
        <v>-1</v>
      </c>
      <c r="F1447" s="31"/>
    </row>
    <row r="1448" spans="3:6" ht="15.75" x14ac:dyDescent="0.25">
      <c r="C1448" s="29" t="str">
        <f>IF(B1448=0,"EMPTY",Setup!$D$11*((PI()*2*Setup!$B$22*A1448*B1448)/33000))</f>
        <v>EMPTY</v>
      </c>
      <c r="D1448" s="30" t="str">
        <f>IF(Setup!$H$2=0,"EMPTY",IF(B1448=0,"EMPTY",B1448*Setup!$B$22*Setup!$G$6*Setup!$D$11))</f>
        <v>EMPTY</v>
      </c>
      <c r="E1448" s="31">
        <f>IF(Setup!$H$2=0,-1,IF(A1448=0,-1,A1448*1/(Setup!$G$6)))</f>
        <v>-1</v>
      </c>
      <c r="F1448" s="31"/>
    </row>
    <row r="1449" spans="3:6" ht="15.75" x14ac:dyDescent="0.25">
      <c r="C1449" s="29" t="str">
        <f>IF(B1449=0,"EMPTY",Setup!$D$11*((PI()*2*Setup!$B$22*A1449*B1449)/33000))</f>
        <v>EMPTY</v>
      </c>
      <c r="D1449" s="30" t="str">
        <f>IF(Setup!$H$2=0,"EMPTY",IF(B1449=0,"EMPTY",B1449*Setup!$B$22*Setup!$G$6*Setup!$D$11))</f>
        <v>EMPTY</v>
      </c>
      <c r="E1449" s="31">
        <f>IF(Setup!$H$2=0,-1,IF(A1449=0,-1,A1449*1/(Setup!$G$6)))</f>
        <v>-1</v>
      </c>
      <c r="F1449" s="31"/>
    </row>
    <row r="1450" spans="3:6" ht="15.75" x14ac:dyDescent="0.25">
      <c r="C1450" s="29" t="str">
        <f>IF(B1450=0,"EMPTY",Setup!$D$11*((PI()*2*Setup!$B$22*A1450*B1450)/33000))</f>
        <v>EMPTY</v>
      </c>
      <c r="D1450" s="30" t="str">
        <f>IF(Setup!$H$2=0,"EMPTY",IF(B1450=0,"EMPTY",B1450*Setup!$B$22*Setup!$G$6*Setup!$D$11))</f>
        <v>EMPTY</v>
      </c>
      <c r="E1450" s="31">
        <f>IF(Setup!$H$2=0,-1,IF(A1450=0,-1,A1450*1/(Setup!$G$6)))</f>
        <v>-1</v>
      </c>
      <c r="F1450" s="31"/>
    </row>
    <row r="1451" spans="3:6" ht="15.75" x14ac:dyDescent="0.25">
      <c r="C1451" s="29" t="str">
        <f>IF(B1451=0,"EMPTY",Setup!$D$11*((PI()*2*Setup!$B$22*A1451*B1451)/33000))</f>
        <v>EMPTY</v>
      </c>
      <c r="D1451" s="30" t="str">
        <f>IF(Setup!$H$2=0,"EMPTY",IF(B1451=0,"EMPTY",B1451*Setup!$B$22*Setup!$G$6*Setup!$D$11))</f>
        <v>EMPTY</v>
      </c>
      <c r="E1451" s="31">
        <f>IF(Setup!$H$2=0,-1,IF(A1451=0,-1,A1451*1/(Setup!$G$6)))</f>
        <v>-1</v>
      </c>
      <c r="F1451" s="31"/>
    </row>
    <row r="1452" spans="3:6" ht="15.75" x14ac:dyDescent="0.25">
      <c r="C1452" s="29" t="str">
        <f>IF(B1452=0,"EMPTY",Setup!$D$11*((PI()*2*Setup!$B$22*A1452*B1452)/33000))</f>
        <v>EMPTY</v>
      </c>
      <c r="D1452" s="30" t="str">
        <f>IF(Setup!$H$2=0,"EMPTY",IF(B1452=0,"EMPTY",B1452*Setup!$B$22*Setup!$G$6*Setup!$D$11))</f>
        <v>EMPTY</v>
      </c>
      <c r="E1452" s="31">
        <f>IF(Setup!$H$2=0,-1,IF(A1452=0,-1,A1452*1/(Setup!$G$6)))</f>
        <v>-1</v>
      </c>
      <c r="F1452" s="31"/>
    </row>
    <row r="1453" spans="3:6" ht="15.75" x14ac:dyDescent="0.25">
      <c r="C1453" s="29" t="str">
        <f>IF(B1453=0,"EMPTY",Setup!$D$11*((PI()*2*Setup!$B$22*A1453*B1453)/33000))</f>
        <v>EMPTY</v>
      </c>
      <c r="D1453" s="30" t="str">
        <f>IF(Setup!$H$2=0,"EMPTY",IF(B1453=0,"EMPTY",B1453*Setup!$B$22*Setup!$G$6*Setup!$D$11))</f>
        <v>EMPTY</v>
      </c>
      <c r="E1453" s="31">
        <f>IF(Setup!$H$2=0,-1,IF(A1453=0,-1,A1453*1/(Setup!$G$6)))</f>
        <v>-1</v>
      </c>
      <c r="F1453" s="31"/>
    </row>
    <row r="1454" spans="3:6" ht="15.75" x14ac:dyDescent="0.25">
      <c r="C1454" s="29" t="str">
        <f>IF(B1454=0,"EMPTY",Setup!$D$11*((PI()*2*Setup!$B$22*A1454*B1454)/33000))</f>
        <v>EMPTY</v>
      </c>
      <c r="D1454" s="30" t="str">
        <f>IF(Setup!$H$2=0,"EMPTY",IF(B1454=0,"EMPTY",B1454*Setup!$B$22*Setup!$G$6*Setup!$D$11))</f>
        <v>EMPTY</v>
      </c>
      <c r="E1454" s="31">
        <f>IF(Setup!$H$2=0,-1,IF(A1454=0,-1,A1454*1/(Setup!$G$6)))</f>
        <v>-1</v>
      </c>
      <c r="F1454" s="31"/>
    </row>
    <row r="1455" spans="3:6" ht="15.75" x14ac:dyDescent="0.25">
      <c r="C1455" s="29" t="str">
        <f>IF(B1455=0,"EMPTY",Setup!$D$11*((PI()*2*Setup!$B$22*A1455*B1455)/33000))</f>
        <v>EMPTY</v>
      </c>
      <c r="D1455" s="30" t="str">
        <f>IF(Setup!$H$2=0,"EMPTY",IF(B1455=0,"EMPTY",B1455*Setup!$B$22*Setup!$G$6*Setup!$D$11))</f>
        <v>EMPTY</v>
      </c>
      <c r="E1455" s="31">
        <f>IF(Setup!$H$2=0,-1,IF(A1455=0,-1,A1455*1/(Setup!$G$6)))</f>
        <v>-1</v>
      </c>
      <c r="F1455" s="31"/>
    </row>
    <row r="1456" spans="3:6" ht="15.75" x14ac:dyDescent="0.25">
      <c r="C1456" s="29" t="str">
        <f>IF(B1456=0,"EMPTY",Setup!$D$11*((PI()*2*Setup!$B$22*A1456*B1456)/33000))</f>
        <v>EMPTY</v>
      </c>
      <c r="D1456" s="30" t="str">
        <f>IF(Setup!$H$2=0,"EMPTY",IF(B1456=0,"EMPTY",B1456*Setup!$B$22*Setup!$G$6*Setup!$D$11))</f>
        <v>EMPTY</v>
      </c>
      <c r="E1456" s="31">
        <f>IF(Setup!$H$2=0,-1,IF(A1456=0,-1,A1456*1/(Setup!$G$6)))</f>
        <v>-1</v>
      </c>
      <c r="F1456" s="31"/>
    </row>
    <row r="1457" spans="3:6" ht="15.75" x14ac:dyDescent="0.25">
      <c r="C1457" s="29" t="str">
        <f>IF(B1457=0,"EMPTY",Setup!$D$11*((PI()*2*Setup!$B$22*A1457*B1457)/33000))</f>
        <v>EMPTY</v>
      </c>
      <c r="D1457" s="30" t="str">
        <f>IF(Setup!$H$2=0,"EMPTY",IF(B1457=0,"EMPTY",B1457*Setup!$B$22*Setup!$G$6*Setup!$D$11))</f>
        <v>EMPTY</v>
      </c>
      <c r="E1457" s="31">
        <f>IF(Setup!$H$2=0,-1,IF(A1457=0,-1,A1457*1/(Setup!$G$6)))</f>
        <v>-1</v>
      </c>
      <c r="F1457" s="31"/>
    </row>
    <row r="1458" spans="3:6" ht="15.75" x14ac:dyDescent="0.25">
      <c r="C1458" s="29" t="str">
        <f>IF(B1458=0,"EMPTY",Setup!$D$11*((PI()*2*Setup!$B$22*A1458*B1458)/33000))</f>
        <v>EMPTY</v>
      </c>
      <c r="D1458" s="30" t="str">
        <f>IF(Setup!$H$2=0,"EMPTY",IF(B1458=0,"EMPTY",B1458*Setup!$B$22*Setup!$G$6*Setup!$D$11))</f>
        <v>EMPTY</v>
      </c>
      <c r="E1458" s="31">
        <f>IF(Setup!$H$2=0,-1,IF(A1458=0,-1,A1458*1/(Setup!$G$6)))</f>
        <v>-1</v>
      </c>
      <c r="F1458" s="31"/>
    </row>
    <row r="1459" spans="3:6" ht="15.75" x14ac:dyDescent="0.25">
      <c r="C1459" s="29" t="str">
        <f>IF(B1459=0,"EMPTY",Setup!$D$11*((PI()*2*Setup!$B$22*A1459*B1459)/33000))</f>
        <v>EMPTY</v>
      </c>
      <c r="D1459" s="30" t="str">
        <f>IF(Setup!$H$2=0,"EMPTY",IF(B1459=0,"EMPTY",B1459*Setup!$B$22*Setup!$G$6*Setup!$D$11))</f>
        <v>EMPTY</v>
      </c>
      <c r="E1459" s="31">
        <f>IF(Setup!$H$2=0,-1,IF(A1459=0,-1,A1459*1/(Setup!$G$6)))</f>
        <v>-1</v>
      </c>
      <c r="F1459" s="31"/>
    </row>
    <row r="1460" spans="3:6" ht="15.75" x14ac:dyDescent="0.25">
      <c r="C1460" s="29" t="str">
        <f>IF(B1460=0,"EMPTY",Setup!$D$11*((PI()*2*Setup!$B$22*A1460*B1460)/33000))</f>
        <v>EMPTY</v>
      </c>
      <c r="D1460" s="30" t="str">
        <f>IF(Setup!$H$2=0,"EMPTY",IF(B1460=0,"EMPTY",B1460*Setup!$B$22*Setup!$G$6*Setup!$D$11))</f>
        <v>EMPTY</v>
      </c>
      <c r="E1460" s="31">
        <f>IF(Setup!$H$2=0,-1,IF(A1460=0,-1,A1460*1/(Setup!$G$6)))</f>
        <v>-1</v>
      </c>
      <c r="F1460" s="31"/>
    </row>
    <row r="1461" spans="3:6" ht="15.75" x14ac:dyDescent="0.25">
      <c r="C1461" s="29" t="str">
        <f>IF(B1461=0,"EMPTY",Setup!$D$11*((PI()*2*Setup!$B$22*A1461*B1461)/33000))</f>
        <v>EMPTY</v>
      </c>
      <c r="D1461" s="30" t="str">
        <f>IF(Setup!$H$2=0,"EMPTY",IF(B1461=0,"EMPTY",B1461*Setup!$B$22*Setup!$G$6*Setup!$D$11))</f>
        <v>EMPTY</v>
      </c>
      <c r="E1461" s="31">
        <f>IF(Setup!$H$2=0,-1,IF(A1461=0,-1,A1461*1/(Setup!$G$6)))</f>
        <v>-1</v>
      </c>
      <c r="F1461" s="31"/>
    </row>
    <row r="1462" spans="3:6" ht="15.75" x14ac:dyDescent="0.25">
      <c r="C1462" s="29" t="str">
        <f>IF(B1462=0,"EMPTY",Setup!$D$11*((PI()*2*Setup!$B$22*A1462*B1462)/33000))</f>
        <v>EMPTY</v>
      </c>
      <c r="D1462" s="30" t="str">
        <f>IF(Setup!$H$2=0,"EMPTY",IF(B1462=0,"EMPTY",B1462*Setup!$B$22*Setup!$G$6*Setup!$D$11))</f>
        <v>EMPTY</v>
      </c>
      <c r="E1462" s="31">
        <f>IF(Setup!$H$2=0,-1,IF(A1462=0,-1,A1462*1/(Setup!$G$6)))</f>
        <v>-1</v>
      </c>
      <c r="F1462" s="31"/>
    </row>
    <row r="1463" spans="3:6" ht="15.75" x14ac:dyDescent="0.25">
      <c r="C1463" s="29" t="str">
        <f>IF(B1463=0,"EMPTY",Setup!$D$11*((PI()*2*Setup!$B$22*A1463*B1463)/33000))</f>
        <v>EMPTY</v>
      </c>
      <c r="D1463" s="30" t="str">
        <f>IF(Setup!$H$2=0,"EMPTY",IF(B1463=0,"EMPTY",B1463*Setup!$B$22*Setup!$G$6*Setup!$D$11))</f>
        <v>EMPTY</v>
      </c>
      <c r="E1463" s="31">
        <f>IF(Setup!$H$2=0,-1,IF(A1463=0,-1,A1463*1/(Setup!$G$6)))</f>
        <v>-1</v>
      </c>
      <c r="F1463" s="31"/>
    </row>
    <row r="1464" spans="3:6" ht="15.75" x14ac:dyDescent="0.25">
      <c r="C1464" s="29" t="str">
        <f>IF(B1464=0,"EMPTY",Setup!$D$11*((PI()*2*Setup!$B$22*A1464*B1464)/33000))</f>
        <v>EMPTY</v>
      </c>
      <c r="D1464" s="30" t="str">
        <f>IF(Setup!$H$2=0,"EMPTY",IF(B1464=0,"EMPTY",B1464*Setup!$B$22*Setup!$G$6*Setup!$D$11))</f>
        <v>EMPTY</v>
      </c>
      <c r="E1464" s="31">
        <f>IF(Setup!$H$2=0,-1,IF(A1464=0,-1,A1464*1/(Setup!$G$6)))</f>
        <v>-1</v>
      </c>
      <c r="F1464" s="31"/>
    </row>
    <row r="1465" spans="3:6" ht="15.75" x14ac:dyDescent="0.25">
      <c r="C1465" s="29" t="str">
        <f>IF(B1465=0,"EMPTY",Setup!$D$11*((PI()*2*Setup!$B$22*A1465*B1465)/33000))</f>
        <v>EMPTY</v>
      </c>
      <c r="D1465" s="30" t="str">
        <f>IF(Setup!$H$2=0,"EMPTY",IF(B1465=0,"EMPTY",B1465*Setup!$B$22*Setup!$G$6*Setup!$D$11))</f>
        <v>EMPTY</v>
      </c>
      <c r="E1465" s="31">
        <f>IF(Setup!$H$2=0,-1,IF(A1465=0,-1,A1465*1/(Setup!$G$6)))</f>
        <v>-1</v>
      </c>
      <c r="F1465" s="31"/>
    </row>
    <row r="1466" spans="3:6" ht="15.75" x14ac:dyDescent="0.25">
      <c r="C1466" s="29" t="str">
        <f>IF(B1466=0,"EMPTY",Setup!$D$11*((PI()*2*Setup!$B$22*A1466*B1466)/33000))</f>
        <v>EMPTY</v>
      </c>
      <c r="D1466" s="30" t="str">
        <f>IF(Setup!$H$2=0,"EMPTY",IF(B1466=0,"EMPTY",B1466*Setup!$B$22*Setup!$G$6*Setup!$D$11))</f>
        <v>EMPTY</v>
      </c>
      <c r="E1466" s="31">
        <f>IF(Setup!$H$2=0,-1,IF(A1466=0,-1,A1466*1/(Setup!$G$6)))</f>
        <v>-1</v>
      </c>
      <c r="F1466" s="31"/>
    </row>
    <row r="1467" spans="3:6" ht="15.75" x14ac:dyDescent="0.25">
      <c r="C1467" s="29" t="str">
        <f>IF(B1467=0,"EMPTY",Setup!$D$11*((PI()*2*Setup!$B$22*A1467*B1467)/33000))</f>
        <v>EMPTY</v>
      </c>
      <c r="D1467" s="30" t="str">
        <f>IF(Setup!$H$2=0,"EMPTY",IF(B1467=0,"EMPTY",B1467*Setup!$B$22*Setup!$G$6*Setup!$D$11))</f>
        <v>EMPTY</v>
      </c>
      <c r="E1467" s="31">
        <f>IF(Setup!$H$2=0,-1,IF(A1467=0,-1,A1467*1/(Setup!$G$6)))</f>
        <v>-1</v>
      </c>
      <c r="F1467" s="31"/>
    </row>
    <row r="1468" spans="3:6" ht="15.75" x14ac:dyDescent="0.25">
      <c r="C1468" s="29" t="str">
        <f>IF(B1468=0,"EMPTY",Setup!$D$11*((PI()*2*Setup!$B$22*A1468*B1468)/33000))</f>
        <v>EMPTY</v>
      </c>
      <c r="D1468" s="30" t="str">
        <f>IF(Setup!$H$2=0,"EMPTY",IF(B1468=0,"EMPTY",B1468*Setup!$B$22*Setup!$G$6*Setup!$D$11))</f>
        <v>EMPTY</v>
      </c>
      <c r="E1468" s="31">
        <f>IF(Setup!$H$2=0,-1,IF(A1468=0,-1,A1468*1/(Setup!$G$6)))</f>
        <v>-1</v>
      </c>
      <c r="F1468" s="31"/>
    </row>
    <row r="1469" spans="3:6" ht="15.75" x14ac:dyDescent="0.25">
      <c r="C1469" s="29" t="str">
        <f>IF(B1469=0,"EMPTY",Setup!$D$11*((PI()*2*Setup!$B$22*A1469*B1469)/33000))</f>
        <v>EMPTY</v>
      </c>
      <c r="D1469" s="30" t="str">
        <f>IF(Setup!$H$2=0,"EMPTY",IF(B1469=0,"EMPTY",B1469*Setup!$B$22*Setup!$G$6*Setup!$D$11))</f>
        <v>EMPTY</v>
      </c>
      <c r="E1469" s="31">
        <f>IF(Setup!$H$2=0,-1,IF(A1469=0,-1,A1469*1/(Setup!$G$6)))</f>
        <v>-1</v>
      </c>
      <c r="F1469" s="31"/>
    </row>
    <row r="1470" spans="3:6" ht="15.75" x14ac:dyDescent="0.25">
      <c r="C1470" s="29" t="str">
        <f>IF(B1470=0,"EMPTY",Setup!$D$11*((PI()*2*Setup!$B$22*A1470*B1470)/33000))</f>
        <v>EMPTY</v>
      </c>
      <c r="D1470" s="30" t="str">
        <f>IF(Setup!$H$2=0,"EMPTY",IF(B1470=0,"EMPTY",B1470*Setup!$B$22*Setup!$G$6*Setup!$D$11))</f>
        <v>EMPTY</v>
      </c>
      <c r="E1470" s="31">
        <f>IF(Setup!$H$2=0,-1,IF(A1470=0,-1,A1470*1/(Setup!$G$6)))</f>
        <v>-1</v>
      </c>
      <c r="F1470" s="31"/>
    </row>
    <row r="1471" spans="3:6" ht="15.75" x14ac:dyDescent="0.25">
      <c r="C1471" s="29" t="str">
        <f>IF(B1471=0,"EMPTY",Setup!$D$11*((PI()*2*Setup!$B$22*A1471*B1471)/33000))</f>
        <v>EMPTY</v>
      </c>
      <c r="D1471" s="30" t="str">
        <f>IF(Setup!$H$2=0,"EMPTY",IF(B1471=0,"EMPTY",B1471*Setup!$B$22*Setup!$G$6*Setup!$D$11))</f>
        <v>EMPTY</v>
      </c>
      <c r="E1471" s="31">
        <f>IF(Setup!$H$2=0,-1,IF(A1471=0,-1,A1471*1/(Setup!$G$6)))</f>
        <v>-1</v>
      </c>
      <c r="F1471" s="31"/>
    </row>
    <row r="1472" spans="3:6" ht="15.75" x14ac:dyDescent="0.25">
      <c r="C1472" s="29" t="str">
        <f>IF(B1472=0,"EMPTY",Setup!$D$11*((PI()*2*Setup!$B$22*A1472*B1472)/33000))</f>
        <v>EMPTY</v>
      </c>
      <c r="D1472" s="30" t="str">
        <f>IF(Setup!$H$2=0,"EMPTY",IF(B1472=0,"EMPTY",B1472*Setup!$B$22*Setup!$G$6*Setup!$D$11))</f>
        <v>EMPTY</v>
      </c>
      <c r="E1472" s="31">
        <f>IF(Setup!$H$2=0,-1,IF(A1472=0,-1,A1472*1/(Setup!$G$6)))</f>
        <v>-1</v>
      </c>
      <c r="F1472" s="31"/>
    </row>
    <row r="1473" spans="3:6" ht="15.75" x14ac:dyDescent="0.25">
      <c r="C1473" s="29" t="str">
        <f>IF(B1473=0,"EMPTY",Setup!$D$11*((PI()*2*Setup!$B$22*A1473*B1473)/33000))</f>
        <v>EMPTY</v>
      </c>
      <c r="D1473" s="30" t="str">
        <f>IF(Setup!$H$2=0,"EMPTY",IF(B1473=0,"EMPTY",B1473*Setup!$B$22*Setup!$G$6*Setup!$D$11))</f>
        <v>EMPTY</v>
      </c>
      <c r="E1473" s="31">
        <f>IF(Setup!$H$2=0,-1,IF(A1473=0,-1,A1473*1/(Setup!$G$6)))</f>
        <v>-1</v>
      </c>
      <c r="F1473" s="31"/>
    </row>
    <row r="1474" spans="3:6" ht="15.75" x14ac:dyDescent="0.25">
      <c r="C1474" s="29" t="str">
        <f>IF(B1474=0,"EMPTY",Setup!$D$11*((PI()*2*Setup!$B$22*A1474*B1474)/33000))</f>
        <v>EMPTY</v>
      </c>
      <c r="D1474" s="30" t="str">
        <f>IF(Setup!$H$2=0,"EMPTY",IF(B1474=0,"EMPTY",B1474*Setup!$B$22*Setup!$G$6*Setup!$D$11))</f>
        <v>EMPTY</v>
      </c>
      <c r="E1474" s="31">
        <f>IF(Setup!$H$2=0,-1,IF(A1474=0,-1,A1474*1/(Setup!$G$6)))</f>
        <v>-1</v>
      </c>
      <c r="F1474" s="31"/>
    </row>
    <row r="1475" spans="3:6" ht="15.75" x14ac:dyDescent="0.25">
      <c r="C1475" s="29" t="str">
        <f>IF(B1475=0,"EMPTY",Setup!$D$11*((PI()*2*Setup!$B$22*A1475*B1475)/33000))</f>
        <v>EMPTY</v>
      </c>
      <c r="D1475" s="30" t="str">
        <f>IF(Setup!$H$2=0,"EMPTY",IF(B1475=0,"EMPTY",B1475*Setup!$B$22*Setup!$G$6*Setup!$D$11))</f>
        <v>EMPTY</v>
      </c>
      <c r="E1475" s="31">
        <f>IF(Setup!$H$2=0,-1,IF(A1475=0,-1,A1475*1/(Setup!$G$6)))</f>
        <v>-1</v>
      </c>
      <c r="F1475" s="31"/>
    </row>
    <row r="1476" spans="3:6" ht="15.75" x14ac:dyDescent="0.25">
      <c r="C1476" s="29" t="str">
        <f>IF(B1476=0,"EMPTY",Setup!$D$11*((PI()*2*Setup!$B$22*A1476*B1476)/33000))</f>
        <v>EMPTY</v>
      </c>
      <c r="D1476" s="30" t="str">
        <f>IF(Setup!$H$2=0,"EMPTY",IF(B1476=0,"EMPTY",B1476*Setup!$B$22*Setup!$G$6*Setup!$D$11))</f>
        <v>EMPTY</v>
      </c>
      <c r="E1476" s="31">
        <f>IF(Setup!$H$2=0,-1,IF(A1476=0,-1,A1476*1/(Setup!$G$6)))</f>
        <v>-1</v>
      </c>
      <c r="F1476" s="31"/>
    </row>
    <row r="1477" spans="3:6" ht="15.75" x14ac:dyDescent="0.25">
      <c r="C1477" s="29" t="str">
        <f>IF(B1477=0,"EMPTY",Setup!$D$11*((PI()*2*Setup!$B$22*A1477*B1477)/33000))</f>
        <v>EMPTY</v>
      </c>
      <c r="D1477" s="30" t="str">
        <f>IF(Setup!$H$2=0,"EMPTY",IF(B1477=0,"EMPTY",B1477*Setup!$B$22*Setup!$G$6*Setup!$D$11))</f>
        <v>EMPTY</v>
      </c>
      <c r="E1477" s="31">
        <f>IF(Setup!$H$2=0,-1,IF(A1477=0,-1,A1477*1/(Setup!$G$6)))</f>
        <v>-1</v>
      </c>
      <c r="F1477" s="31"/>
    </row>
    <row r="1478" spans="3:6" ht="15.75" x14ac:dyDescent="0.25">
      <c r="C1478" s="29" t="str">
        <f>IF(B1478=0,"EMPTY",Setup!$D$11*((PI()*2*Setup!$B$22*A1478*B1478)/33000))</f>
        <v>EMPTY</v>
      </c>
      <c r="D1478" s="30" t="str">
        <f>IF(Setup!$H$2=0,"EMPTY",IF(B1478=0,"EMPTY",B1478*Setup!$B$22*Setup!$G$6*Setup!$D$11))</f>
        <v>EMPTY</v>
      </c>
      <c r="E1478" s="31">
        <f>IF(Setup!$H$2=0,-1,IF(A1478=0,-1,A1478*1/(Setup!$G$6)))</f>
        <v>-1</v>
      </c>
      <c r="F1478" s="31"/>
    </row>
    <row r="1479" spans="3:6" ht="15.75" x14ac:dyDescent="0.25">
      <c r="C1479" s="29" t="str">
        <f>IF(B1479=0,"EMPTY",Setup!$D$11*((PI()*2*Setup!$B$22*A1479*B1479)/33000))</f>
        <v>EMPTY</v>
      </c>
      <c r="D1479" s="30" t="str">
        <f>IF(Setup!$H$2=0,"EMPTY",IF(B1479=0,"EMPTY",B1479*Setup!$B$22*Setup!$G$6*Setup!$D$11))</f>
        <v>EMPTY</v>
      </c>
      <c r="E1479" s="31">
        <f>IF(Setup!$H$2=0,-1,IF(A1479=0,-1,A1479*1/(Setup!$G$6)))</f>
        <v>-1</v>
      </c>
      <c r="F1479" s="31"/>
    </row>
    <row r="1480" spans="3:6" ht="15.75" x14ac:dyDescent="0.25">
      <c r="C1480" s="29" t="str">
        <f>IF(B1480=0,"EMPTY",Setup!$D$11*((PI()*2*Setup!$B$22*A1480*B1480)/33000))</f>
        <v>EMPTY</v>
      </c>
      <c r="D1480" s="30" t="str">
        <f>IF(Setup!$H$2=0,"EMPTY",IF(B1480=0,"EMPTY",B1480*Setup!$B$22*Setup!$G$6*Setup!$D$11))</f>
        <v>EMPTY</v>
      </c>
      <c r="E1480" s="31">
        <f>IF(Setup!$H$2=0,-1,IF(A1480=0,-1,A1480*1/(Setup!$G$6)))</f>
        <v>-1</v>
      </c>
      <c r="F1480" s="31"/>
    </row>
    <row r="1481" spans="3:6" ht="15.75" x14ac:dyDescent="0.25">
      <c r="C1481" s="29" t="str">
        <f>IF(B1481=0,"EMPTY",Setup!$D$11*((PI()*2*Setup!$B$22*A1481*B1481)/33000))</f>
        <v>EMPTY</v>
      </c>
      <c r="D1481" s="30" t="str">
        <f>IF(Setup!$H$2=0,"EMPTY",IF(B1481=0,"EMPTY",B1481*Setup!$B$22*Setup!$G$6*Setup!$D$11))</f>
        <v>EMPTY</v>
      </c>
      <c r="E1481" s="31">
        <f>IF(Setup!$H$2=0,-1,IF(A1481=0,-1,A1481*1/(Setup!$G$6)))</f>
        <v>-1</v>
      </c>
      <c r="F1481" s="31"/>
    </row>
    <row r="1482" spans="3:6" ht="15.75" x14ac:dyDescent="0.25">
      <c r="C1482" s="29" t="str">
        <f>IF(B1482=0,"EMPTY",Setup!$D$11*((PI()*2*Setup!$B$22*A1482*B1482)/33000))</f>
        <v>EMPTY</v>
      </c>
      <c r="D1482" s="30" t="str">
        <f>IF(Setup!$H$2=0,"EMPTY",IF(B1482=0,"EMPTY",B1482*Setup!$B$22*Setup!$G$6*Setup!$D$11))</f>
        <v>EMPTY</v>
      </c>
      <c r="E1482" s="31">
        <f>IF(Setup!$H$2=0,-1,IF(A1482=0,-1,A1482*1/(Setup!$G$6)))</f>
        <v>-1</v>
      </c>
      <c r="F1482" s="31"/>
    </row>
    <row r="1483" spans="3:6" ht="15.75" x14ac:dyDescent="0.25">
      <c r="C1483" s="29" t="str">
        <f>IF(B1483=0,"EMPTY",Setup!$D$11*((PI()*2*Setup!$B$22*A1483*B1483)/33000))</f>
        <v>EMPTY</v>
      </c>
      <c r="D1483" s="30" t="str">
        <f>IF(Setup!$H$2=0,"EMPTY",IF(B1483=0,"EMPTY",B1483*Setup!$B$22*Setup!$G$6*Setup!$D$11))</f>
        <v>EMPTY</v>
      </c>
      <c r="E1483" s="31">
        <f>IF(Setup!$H$2=0,-1,IF(A1483=0,-1,A1483*1/(Setup!$G$6)))</f>
        <v>-1</v>
      </c>
      <c r="F1483" s="31"/>
    </row>
    <row r="1484" spans="3:6" ht="15.75" x14ac:dyDescent="0.25">
      <c r="C1484" s="29" t="str">
        <f>IF(B1484=0,"EMPTY",Setup!$D$11*((PI()*2*Setup!$B$22*A1484*B1484)/33000))</f>
        <v>EMPTY</v>
      </c>
      <c r="D1484" s="30" t="str">
        <f>IF(Setup!$H$2=0,"EMPTY",IF(B1484=0,"EMPTY",B1484*Setup!$B$22*Setup!$G$6*Setup!$D$11))</f>
        <v>EMPTY</v>
      </c>
      <c r="E1484" s="31">
        <f>IF(Setup!$H$2=0,-1,IF(A1484=0,-1,A1484*1/(Setup!$G$6)))</f>
        <v>-1</v>
      </c>
      <c r="F1484" s="31"/>
    </row>
    <row r="1485" spans="3:6" ht="15.75" x14ac:dyDescent="0.25">
      <c r="C1485" s="29" t="str">
        <f>IF(B1485=0,"EMPTY",Setup!$D$11*((PI()*2*Setup!$B$22*A1485*B1485)/33000))</f>
        <v>EMPTY</v>
      </c>
      <c r="D1485" s="30" t="str">
        <f>IF(Setup!$H$2=0,"EMPTY",IF(B1485=0,"EMPTY",B1485*Setup!$B$22*Setup!$G$6*Setup!$D$11))</f>
        <v>EMPTY</v>
      </c>
      <c r="E1485" s="31">
        <f>IF(Setup!$H$2=0,-1,IF(A1485=0,-1,A1485*1/(Setup!$G$6)))</f>
        <v>-1</v>
      </c>
      <c r="F1485" s="31"/>
    </row>
    <row r="1486" spans="3:6" ht="15.75" x14ac:dyDescent="0.25">
      <c r="C1486" s="29" t="str">
        <f>IF(B1486=0,"EMPTY",Setup!$D$11*((PI()*2*Setup!$B$22*A1486*B1486)/33000))</f>
        <v>EMPTY</v>
      </c>
      <c r="D1486" s="30" t="str">
        <f>IF(Setup!$H$2=0,"EMPTY",IF(B1486=0,"EMPTY",B1486*Setup!$B$22*Setup!$G$6*Setup!$D$11))</f>
        <v>EMPTY</v>
      </c>
      <c r="E1486" s="31">
        <f>IF(Setup!$H$2=0,-1,IF(A1486=0,-1,A1486*1/(Setup!$G$6)))</f>
        <v>-1</v>
      </c>
      <c r="F1486" s="31"/>
    </row>
    <row r="1487" spans="3:6" ht="15.75" x14ac:dyDescent="0.25">
      <c r="C1487" s="29" t="str">
        <f>IF(B1487=0,"EMPTY",Setup!$D$11*((PI()*2*Setup!$B$22*A1487*B1487)/33000))</f>
        <v>EMPTY</v>
      </c>
      <c r="D1487" s="30" t="str">
        <f>IF(Setup!$H$2=0,"EMPTY",IF(B1487=0,"EMPTY",B1487*Setup!$B$22*Setup!$G$6*Setup!$D$11))</f>
        <v>EMPTY</v>
      </c>
      <c r="E1487" s="31">
        <f>IF(Setup!$H$2=0,-1,IF(A1487=0,-1,A1487*1/(Setup!$G$6)))</f>
        <v>-1</v>
      </c>
      <c r="F1487" s="31"/>
    </row>
    <row r="1488" spans="3:6" ht="15.75" x14ac:dyDescent="0.25">
      <c r="C1488" s="29" t="str">
        <f>IF(B1488=0,"EMPTY",Setup!$D$11*((PI()*2*Setup!$B$22*A1488*B1488)/33000))</f>
        <v>EMPTY</v>
      </c>
      <c r="D1488" s="30" t="str">
        <f>IF(Setup!$H$2=0,"EMPTY",IF(B1488=0,"EMPTY",B1488*Setup!$B$22*Setup!$G$6*Setup!$D$11))</f>
        <v>EMPTY</v>
      </c>
      <c r="E1488" s="31">
        <f>IF(Setup!$H$2=0,-1,IF(A1488=0,-1,A1488*1/(Setup!$G$6)))</f>
        <v>-1</v>
      </c>
      <c r="F1488" s="31"/>
    </row>
    <row r="1489" spans="3:6" ht="15.75" x14ac:dyDescent="0.25">
      <c r="C1489" s="29" t="str">
        <f>IF(B1489=0,"EMPTY",Setup!$D$11*((PI()*2*Setup!$B$22*A1489*B1489)/33000))</f>
        <v>EMPTY</v>
      </c>
      <c r="D1489" s="30" t="str">
        <f>IF(Setup!$H$2=0,"EMPTY",IF(B1489=0,"EMPTY",B1489*Setup!$B$22*Setup!$G$6*Setup!$D$11))</f>
        <v>EMPTY</v>
      </c>
      <c r="E1489" s="31">
        <f>IF(Setup!$H$2=0,-1,IF(A1489=0,-1,A1489*1/(Setup!$G$6)))</f>
        <v>-1</v>
      </c>
      <c r="F1489" s="31"/>
    </row>
    <row r="1490" spans="3:6" ht="15.75" x14ac:dyDescent="0.25">
      <c r="C1490" s="29" t="str">
        <f>IF(B1490=0,"EMPTY",Setup!$D$11*((PI()*2*Setup!$B$22*A1490*B1490)/33000))</f>
        <v>EMPTY</v>
      </c>
      <c r="D1490" s="30" t="str">
        <f>IF(Setup!$H$2=0,"EMPTY",IF(B1490=0,"EMPTY",B1490*Setup!$B$22*Setup!$G$6*Setup!$D$11))</f>
        <v>EMPTY</v>
      </c>
      <c r="E1490" s="31">
        <f>IF(Setup!$H$2=0,-1,IF(A1490=0,-1,A1490*1/(Setup!$G$6)))</f>
        <v>-1</v>
      </c>
      <c r="F1490" s="31"/>
    </row>
    <row r="1491" spans="3:6" ht="15.75" x14ac:dyDescent="0.25">
      <c r="C1491" s="29" t="str">
        <f>IF(B1491=0,"EMPTY",Setup!$D$11*((PI()*2*Setup!$B$22*A1491*B1491)/33000))</f>
        <v>EMPTY</v>
      </c>
      <c r="D1491" s="30" t="str">
        <f>IF(Setup!$H$2=0,"EMPTY",IF(B1491=0,"EMPTY",B1491*Setup!$B$22*Setup!$G$6*Setup!$D$11))</f>
        <v>EMPTY</v>
      </c>
      <c r="E1491" s="31">
        <f>IF(Setup!$H$2=0,-1,IF(A1491=0,-1,A1491*1/(Setup!$G$6)))</f>
        <v>-1</v>
      </c>
      <c r="F1491" s="31"/>
    </row>
    <row r="1492" spans="3:6" ht="15.75" x14ac:dyDescent="0.25">
      <c r="C1492" s="29" t="str">
        <f>IF(B1492=0,"EMPTY",Setup!$D$11*((PI()*2*Setup!$B$22*A1492*B1492)/33000))</f>
        <v>EMPTY</v>
      </c>
      <c r="D1492" s="30" t="str">
        <f>IF(Setup!$H$2=0,"EMPTY",IF(B1492=0,"EMPTY",B1492*Setup!$B$22*Setup!$G$6*Setup!$D$11))</f>
        <v>EMPTY</v>
      </c>
      <c r="E1492" s="31">
        <f>IF(Setup!$H$2=0,-1,IF(A1492=0,-1,A1492*1/(Setup!$G$6)))</f>
        <v>-1</v>
      </c>
      <c r="F1492" s="31"/>
    </row>
    <row r="1493" spans="3:6" ht="15.75" x14ac:dyDescent="0.25">
      <c r="C1493" s="29" t="str">
        <f>IF(B1493=0,"EMPTY",Setup!$D$11*((PI()*2*Setup!$B$22*A1493*B1493)/33000))</f>
        <v>EMPTY</v>
      </c>
      <c r="D1493" s="30" t="str">
        <f>IF(Setup!$H$2=0,"EMPTY",IF(B1493=0,"EMPTY",B1493*Setup!$B$22*Setup!$G$6*Setup!$D$11))</f>
        <v>EMPTY</v>
      </c>
      <c r="E1493" s="31">
        <f>IF(Setup!$H$2=0,-1,IF(A1493=0,-1,A1493*1/(Setup!$G$6)))</f>
        <v>-1</v>
      </c>
      <c r="F1493" s="31"/>
    </row>
    <row r="1494" spans="3:6" ht="15.75" x14ac:dyDescent="0.25">
      <c r="C1494" s="29" t="str">
        <f>IF(B1494=0,"EMPTY",Setup!$D$11*((PI()*2*Setup!$B$22*A1494*B1494)/33000))</f>
        <v>EMPTY</v>
      </c>
      <c r="D1494" s="30" t="str">
        <f>IF(Setup!$H$2=0,"EMPTY",IF(B1494=0,"EMPTY",B1494*Setup!$B$22*Setup!$G$6*Setup!$D$11))</f>
        <v>EMPTY</v>
      </c>
      <c r="E1494" s="31">
        <f>IF(Setup!$H$2=0,-1,IF(A1494=0,-1,A1494*1/(Setup!$G$6)))</f>
        <v>-1</v>
      </c>
      <c r="F1494" s="31"/>
    </row>
    <row r="1495" spans="3:6" ht="15.75" x14ac:dyDescent="0.25">
      <c r="C1495" s="29" t="str">
        <f>IF(B1495=0,"EMPTY",Setup!$D$11*((PI()*2*Setup!$B$22*A1495*B1495)/33000))</f>
        <v>EMPTY</v>
      </c>
      <c r="D1495" s="30" t="str">
        <f>IF(Setup!$H$2=0,"EMPTY",IF(B1495=0,"EMPTY",B1495*Setup!$B$22*Setup!$G$6*Setup!$D$11))</f>
        <v>EMPTY</v>
      </c>
      <c r="E1495" s="31">
        <f>IF(Setup!$H$2=0,-1,IF(A1495=0,-1,A1495*1/(Setup!$G$6)))</f>
        <v>-1</v>
      </c>
      <c r="F1495" s="31"/>
    </row>
    <row r="1496" spans="3:6" ht="15.75" x14ac:dyDescent="0.25">
      <c r="C1496" s="29" t="str">
        <f>IF(B1496=0,"EMPTY",Setup!$D$11*((PI()*2*Setup!$B$22*A1496*B1496)/33000))</f>
        <v>EMPTY</v>
      </c>
      <c r="D1496" s="30" t="str">
        <f>IF(Setup!$H$2=0,"EMPTY",IF(B1496=0,"EMPTY",B1496*Setup!$B$22*Setup!$G$6*Setup!$D$11))</f>
        <v>EMPTY</v>
      </c>
      <c r="E1496" s="31">
        <f>IF(Setup!$H$2=0,-1,IF(A1496=0,-1,A1496*1/(Setup!$G$6)))</f>
        <v>-1</v>
      </c>
      <c r="F1496" s="31"/>
    </row>
    <row r="1497" spans="3:6" ht="15.75" x14ac:dyDescent="0.25">
      <c r="C1497" s="29" t="str">
        <f>IF(B1497=0,"EMPTY",Setup!$D$11*((PI()*2*Setup!$B$22*A1497*B1497)/33000))</f>
        <v>EMPTY</v>
      </c>
      <c r="D1497" s="30" t="str">
        <f>IF(Setup!$H$2=0,"EMPTY",IF(B1497=0,"EMPTY",B1497*Setup!$B$22*Setup!$G$6*Setup!$D$11))</f>
        <v>EMPTY</v>
      </c>
      <c r="E1497" s="31">
        <f>IF(Setup!$H$2=0,-1,IF(A1497=0,-1,A1497*1/(Setup!$G$6)))</f>
        <v>-1</v>
      </c>
      <c r="F1497" s="31"/>
    </row>
    <row r="1498" spans="3:6" ht="15.75" x14ac:dyDescent="0.25">
      <c r="C1498" s="29" t="str">
        <f>IF(B1498=0,"EMPTY",Setup!$D$11*((PI()*2*Setup!$B$22*A1498*B1498)/33000))</f>
        <v>EMPTY</v>
      </c>
      <c r="D1498" s="30" t="str">
        <f>IF(Setup!$H$2=0,"EMPTY",IF(B1498=0,"EMPTY",B1498*Setup!$B$22*Setup!$G$6*Setup!$D$11))</f>
        <v>EMPTY</v>
      </c>
      <c r="E1498" s="31">
        <f>IF(Setup!$H$2=0,-1,IF(A1498=0,-1,A1498*1/(Setup!$G$6)))</f>
        <v>-1</v>
      </c>
      <c r="F1498" s="31"/>
    </row>
    <row r="1499" spans="3:6" ht="15.75" x14ac:dyDescent="0.25">
      <c r="C1499" s="29" t="str">
        <f>IF(B1499=0,"EMPTY",Setup!$D$11*((PI()*2*Setup!$B$22*A1499*B1499)/33000))</f>
        <v>EMPTY</v>
      </c>
      <c r="D1499" s="30" t="str">
        <f>IF(Setup!$H$2=0,"EMPTY",IF(B1499=0,"EMPTY",B1499*Setup!$B$22*Setup!$G$6*Setup!$D$11))</f>
        <v>EMPTY</v>
      </c>
      <c r="E1499" s="31">
        <f>IF(Setup!$H$2=0,-1,IF(A1499=0,-1,A1499*1/(Setup!$G$6)))</f>
        <v>-1</v>
      </c>
      <c r="F1499" s="31"/>
    </row>
    <row r="1500" spans="3:6" ht="15.75" x14ac:dyDescent="0.25">
      <c r="C1500" s="29" t="str">
        <f>IF(B1500=0,"EMPTY",Setup!$D$11*((PI()*2*Setup!$B$22*A1500*B1500)/33000))</f>
        <v>EMPTY</v>
      </c>
      <c r="D1500" s="30" t="str">
        <f>IF(Setup!$H$2=0,"EMPTY",IF(B1500=0,"EMPTY",B1500*Setup!$B$22*Setup!$G$6*Setup!$D$11))</f>
        <v>EMPTY</v>
      </c>
      <c r="E1500" s="31">
        <f>IF(Setup!$H$2=0,-1,IF(A1500=0,-1,A1500*1/(Setup!$G$6)))</f>
        <v>-1</v>
      </c>
      <c r="F1500" s="31"/>
    </row>
    <row r="1501" spans="3:6" ht="15.75" x14ac:dyDescent="0.25">
      <c r="C1501" s="29" t="str">
        <f>IF(B1501=0,"EMPTY",Setup!$D$11*((PI()*2*Setup!$B$22*A1501*B1501)/33000))</f>
        <v>EMPTY</v>
      </c>
      <c r="D1501" s="30" t="str">
        <f>IF(Setup!$H$2=0,"EMPTY",IF(B1501=0,"EMPTY",B1501*Setup!$B$22*Setup!$G$6*Setup!$D$11))</f>
        <v>EMPTY</v>
      </c>
      <c r="E1501" s="31">
        <f>IF(Setup!$H$2=0,-1,IF(A1501=0,-1,A1501*1/(Setup!$G$6)))</f>
        <v>-1</v>
      </c>
      <c r="F1501" s="31"/>
    </row>
    <row r="1502" spans="3:6" ht="15.75" x14ac:dyDescent="0.25">
      <c r="C1502" s="29" t="str">
        <f>IF(B1502=0,"EMPTY",Setup!$D$11*((PI()*2*Setup!$B$22*A1502*B1502)/33000))</f>
        <v>EMPTY</v>
      </c>
      <c r="D1502" s="30" t="str">
        <f>IF(Setup!$H$2=0,"EMPTY",IF(B1502=0,"EMPTY",B1502*Setup!$B$22*Setup!$G$6*Setup!$D$11))</f>
        <v>EMPTY</v>
      </c>
      <c r="E1502" s="31">
        <f>IF(Setup!$H$2=0,-1,IF(A1502=0,-1,A1502*1/(Setup!$G$6)))</f>
        <v>-1</v>
      </c>
      <c r="F1502" s="31"/>
    </row>
    <row r="1503" spans="3:6" ht="15.75" x14ac:dyDescent="0.25">
      <c r="C1503" s="29" t="str">
        <f>IF(B1503=0,"EMPTY",Setup!$D$11*((PI()*2*Setup!$B$22*A1503*B1503)/33000))</f>
        <v>EMPTY</v>
      </c>
      <c r="D1503" s="30" t="str">
        <f>IF(Setup!$H$2=0,"EMPTY",IF(B1503=0,"EMPTY",B1503*Setup!$B$22*Setup!$G$6*Setup!$D$11))</f>
        <v>EMPTY</v>
      </c>
      <c r="E1503" s="31">
        <f>IF(Setup!$H$2=0,-1,IF(A1503=0,-1,A1503*1/(Setup!$G$6)))</f>
        <v>-1</v>
      </c>
      <c r="F1503" s="31"/>
    </row>
    <row r="1504" spans="3:6" ht="15.75" x14ac:dyDescent="0.25">
      <c r="C1504" s="29" t="str">
        <f>IF(B1504=0,"EMPTY",Setup!$D$11*((PI()*2*Setup!$B$22*A1504*B1504)/33000))</f>
        <v>EMPTY</v>
      </c>
      <c r="D1504" s="30" t="str">
        <f>IF(Setup!$H$2=0,"EMPTY",IF(B1504=0,"EMPTY",B1504*Setup!$B$22*Setup!$G$6*Setup!$D$11))</f>
        <v>EMPTY</v>
      </c>
      <c r="E1504" s="31">
        <f>IF(Setup!$H$2=0,-1,IF(A1504=0,-1,A1504*1/(Setup!$G$6)))</f>
        <v>-1</v>
      </c>
      <c r="F1504" s="31"/>
    </row>
    <row r="1505" spans="3:6" ht="15.75" x14ac:dyDescent="0.25">
      <c r="C1505" s="29" t="str">
        <f>IF(B1505=0,"EMPTY",Setup!$D$11*((PI()*2*Setup!$B$22*A1505*B1505)/33000))</f>
        <v>EMPTY</v>
      </c>
      <c r="D1505" s="30" t="str">
        <f>IF(Setup!$H$2=0,"EMPTY",IF(B1505=0,"EMPTY",B1505*Setup!$B$22*Setup!$G$6*Setup!$D$11))</f>
        <v>EMPTY</v>
      </c>
      <c r="E1505" s="31">
        <f>IF(Setup!$H$2=0,-1,IF(A1505=0,-1,A1505*1/(Setup!$G$6)))</f>
        <v>-1</v>
      </c>
      <c r="F1505" s="31"/>
    </row>
    <row r="1506" spans="3:6" ht="15.75" x14ac:dyDescent="0.25">
      <c r="C1506" s="29" t="str">
        <f>IF(B1506=0,"EMPTY",Setup!$D$11*((PI()*2*Setup!$B$22*A1506*B1506)/33000))</f>
        <v>EMPTY</v>
      </c>
      <c r="D1506" s="30" t="str">
        <f>IF(Setup!$H$2=0,"EMPTY",IF(B1506=0,"EMPTY",B1506*Setup!$B$22*Setup!$G$6*Setup!$D$11))</f>
        <v>EMPTY</v>
      </c>
      <c r="E1506" s="31">
        <f>IF(Setup!$H$2=0,-1,IF(A1506=0,-1,A1506*1/(Setup!$G$6)))</f>
        <v>-1</v>
      </c>
      <c r="F1506" s="31"/>
    </row>
    <row r="1507" spans="3:6" ht="15.75" x14ac:dyDescent="0.25">
      <c r="C1507" s="29" t="str">
        <f>IF(B1507=0,"EMPTY",Setup!$D$11*((PI()*2*Setup!$B$22*A1507*B1507)/33000))</f>
        <v>EMPTY</v>
      </c>
      <c r="D1507" s="30" t="str">
        <f>IF(Setup!$H$2=0,"EMPTY",IF(B1507=0,"EMPTY",B1507*Setup!$B$22*Setup!$G$6*Setup!$D$11))</f>
        <v>EMPTY</v>
      </c>
      <c r="E1507" s="31">
        <f>IF(Setup!$H$2=0,-1,IF(A1507=0,-1,A1507*1/(Setup!$G$6)))</f>
        <v>-1</v>
      </c>
      <c r="F1507" s="31"/>
    </row>
    <row r="1508" spans="3:6" ht="15.75" x14ac:dyDescent="0.25">
      <c r="C1508" s="29" t="str">
        <f>IF(B1508=0,"EMPTY",Setup!$D$11*((PI()*2*Setup!$B$22*A1508*B1508)/33000))</f>
        <v>EMPTY</v>
      </c>
      <c r="D1508" s="30" t="str">
        <f>IF(Setup!$H$2=0,"EMPTY",IF(B1508=0,"EMPTY",B1508*Setup!$B$22*Setup!$G$6*Setup!$D$11))</f>
        <v>EMPTY</v>
      </c>
      <c r="E1508" s="31">
        <f>IF(Setup!$H$2=0,-1,IF(A1508=0,-1,A1508*1/(Setup!$G$6)))</f>
        <v>-1</v>
      </c>
      <c r="F1508" s="31"/>
    </row>
    <row r="1509" spans="3:6" ht="15.75" x14ac:dyDescent="0.25">
      <c r="C1509" s="29" t="str">
        <f>IF(B1509=0,"EMPTY",Setup!$D$11*((PI()*2*Setup!$B$22*A1509*B1509)/33000))</f>
        <v>EMPTY</v>
      </c>
      <c r="D1509" s="30" t="str">
        <f>IF(Setup!$H$2=0,"EMPTY",IF(B1509=0,"EMPTY",B1509*Setup!$B$22*Setup!$G$6*Setup!$D$11))</f>
        <v>EMPTY</v>
      </c>
      <c r="E1509" s="31">
        <f>IF(Setup!$H$2=0,-1,IF(A1509=0,-1,A1509*1/(Setup!$G$6)))</f>
        <v>-1</v>
      </c>
      <c r="F1509" s="31"/>
    </row>
    <row r="1510" spans="3:6" ht="15.75" x14ac:dyDescent="0.25">
      <c r="C1510" s="29" t="str">
        <f>IF(B1510=0,"EMPTY",Setup!$D$11*((PI()*2*Setup!$B$22*A1510*B1510)/33000))</f>
        <v>EMPTY</v>
      </c>
      <c r="D1510" s="30" t="str">
        <f>IF(Setup!$H$2=0,"EMPTY",IF(B1510=0,"EMPTY",B1510*Setup!$B$22*Setup!$G$6*Setup!$D$11))</f>
        <v>EMPTY</v>
      </c>
      <c r="E1510" s="31">
        <f>IF(Setup!$H$2=0,-1,IF(A1510=0,-1,A1510*1/(Setup!$G$6)))</f>
        <v>-1</v>
      </c>
      <c r="F1510" s="31"/>
    </row>
    <row r="1511" spans="3:6" ht="15.75" x14ac:dyDescent="0.25">
      <c r="C1511" s="29" t="str">
        <f>IF(B1511=0,"EMPTY",Setup!$D$11*((PI()*2*Setup!$B$22*A1511*B1511)/33000))</f>
        <v>EMPTY</v>
      </c>
      <c r="D1511" s="30" t="str">
        <f>IF(Setup!$H$2=0,"EMPTY",IF(B1511=0,"EMPTY",B1511*Setup!$B$22*Setup!$G$6*Setup!$D$11))</f>
        <v>EMPTY</v>
      </c>
      <c r="E1511" s="31">
        <f>IF(Setup!$H$2=0,-1,IF(A1511=0,-1,A1511*1/(Setup!$G$6)))</f>
        <v>-1</v>
      </c>
      <c r="F1511" s="31"/>
    </row>
    <row r="1512" spans="3:6" ht="15.75" x14ac:dyDescent="0.25">
      <c r="C1512" s="29" t="str">
        <f>IF(B1512=0,"EMPTY",Setup!$D$11*((PI()*2*Setup!$B$22*A1512*B1512)/33000))</f>
        <v>EMPTY</v>
      </c>
      <c r="D1512" s="30" t="str">
        <f>IF(Setup!$H$2=0,"EMPTY",IF(B1512=0,"EMPTY",B1512*Setup!$B$22*Setup!$G$6*Setup!$D$11))</f>
        <v>EMPTY</v>
      </c>
      <c r="E1512" s="31">
        <f>IF(Setup!$H$2=0,-1,IF(A1512=0,-1,A1512*1/(Setup!$G$6)))</f>
        <v>-1</v>
      </c>
      <c r="F1512" s="31"/>
    </row>
    <row r="1513" spans="3:6" ht="15.75" x14ac:dyDescent="0.25">
      <c r="C1513" s="29" t="str">
        <f>IF(B1513=0,"EMPTY",Setup!$D$11*((PI()*2*Setup!$B$22*A1513*B1513)/33000))</f>
        <v>EMPTY</v>
      </c>
      <c r="D1513" s="30" t="str">
        <f>IF(Setup!$H$2=0,"EMPTY",IF(B1513=0,"EMPTY",B1513*Setup!$B$22*Setup!$G$6*Setup!$D$11))</f>
        <v>EMPTY</v>
      </c>
      <c r="E1513" s="31">
        <f>IF(Setup!$H$2=0,-1,IF(A1513=0,-1,A1513*1/(Setup!$G$6)))</f>
        <v>-1</v>
      </c>
      <c r="F1513" s="31"/>
    </row>
    <row r="1514" spans="3:6" ht="15.75" x14ac:dyDescent="0.25">
      <c r="C1514" s="29" t="str">
        <f>IF(B1514=0,"EMPTY",Setup!$D$11*((PI()*2*Setup!$B$22*A1514*B1514)/33000))</f>
        <v>EMPTY</v>
      </c>
      <c r="D1514" s="30" t="str">
        <f>IF(Setup!$H$2=0,"EMPTY",IF(B1514=0,"EMPTY",B1514*Setup!$B$22*Setup!$G$6*Setup!$D$11))</f>
        <v>EMPTY</v>
      </c>
      <c r="E1514" s="31">
        <f>IF(Setup!$H$2=0,-1,IF(A1514=0,-1,A1514*1/(Setup!$G$6)))</f>
        <v>-1</v>
      </c>
      <c r="F1514" s="31"/>
    </row>
    <row r="1515" spans="3:6" ht="15.75" x14ac:dyDescent="0.25">
      <c r="C1515" s="29" t="str">
        <f>IF(B1515=0,"EMPTY",Setup!$D$11*((PI()*2*Setup!$B$22*A1515*B1515)/33000))</f>
        <v>EMPTY</v>
      </c>
      <c r="D1515" s="30" t="str">
        <f>IF(Setup!$H$2=0,"EMPTY",IF(B1515=0,"EMPTY",B1515*Setup!$B$22*Setup!$G$6*Setup!$D$11))</f>
        <v>EMPTY</v>
      </c>
      <c r="E1515" s="31">
        <f>IF(Setup!$H$2=0,-1,IF(A1515=0,-1,A1515*1/(Setup!$G$6)))</f>
        <v>-1</v>
      </c>
      <c r="F1515" s="31"/>
    </row>
    <row r="1516" spans="3:6" ht="15.75" x14ac:dyDescent="0.25">
      <c r="C1516" s="29" t="str">
        <f>IF(B1516=0,"EMPTY",Setup!$D$11*((PI()*2*Setup!$B$22*A1516*B1516)/33000))</f>
        <v>EMPTY</v>
      </c>
      <c r="D1516" s="30" t="str">
        <f>IF(Setup!$H$2=0,"EMPTY",IF(B1516=0,"EMPTY",B1516*Setup!$B$22*Setup!$G$6*Setup!$D$11))</f>
        <v>EMPTY</v>
      </c>
      <c r="E1516" s="31">
        <f>IF(Setup!$H$2=0,-1,IF(A1516=0,-1,A1516*1/(Setup!$G$6)))</f>
        <v>-1</v>
      </c>
      <c r="F1516" s="31"/>
    </row>
    <row r="1517" spans="3:6" ht="15.75" x14ac:dyDescent="0.25">
      <c r="C1517" s="29" t="str">
        <f>IF(B1517=0,"EMPTY",Setup!$D$11*((PI()*2*Setup!$B$22*A1517*B1517)/33000))</f>
        <v>EMPTY</v>
      </c>
      <c r="D1517" s="30" t="str">
        <f>IF(Setup!$H$2=0,"EMPTY",IF(B1517=0,"EMPTY",B1517*Setup!$B$22*Setup!$G$6*Setup!$D$11))</f>
        <v>EMPTY</v>
      </c>
      <c r="E1517" s="31">
        <f>IF(Setup!$H$2=0,-1,IF(A1517=0,-1,A1517*1/(Setup!$G$6)))</f>
        <v>-1</v>
      </c>
      <c r="F1517" s="31"/>
    </row>
    <row r="1518" spans="3:6" ht="15.75" x14ac:dyDescent="0.25">
      <c r="C1518" s="29" t="str">
        <f>IF(B1518=0,"EMPTY",Setup!$D$11*((PI()*2*Setup!$B$22*A1518*B1518)/33000))</f>
        <v>EMPTY</v>
      </c>
      <c r="D1518" s="30" t="str">
        <f>IF(Setup!$H$2=0,"EMPTY",IF(B1518=0,"EMPTY",B1518*Setup!$B$22*Setup!$G$6*Setup!$D$11))</f>
        <v>EMPTY</v>
      </c>
      <c r="E1518" s="31">
        <f>IF(Setup!$H$2=0,-1,IF(A1518=0,-1,A1518*1/(Setup!$G$6)))</f>
        <v>-1</v>
      </c>
      <c r="F1518" s="31"/>
    </row>
    <row r="1519" spans="3:6" ht="15.75" x14ac:dyDescent="0.25">
      <c r="C1519" s="29" t="str">
        <f>IF(B1519=0,"EMPTY",Setup!$D$11*((PI()*2*Setup!$B$22*A1519*B1519)/33000))</f>
        <v>EMPTY</v>
      </c>
      <c r="D1519" s="30" t="str">
        <f>IF(Setup!$H$2=0,"EMPTY",IF(B1519=0,"EMPTY",B1519*Setup!$B$22*Setup!$G$6*Setup!$D$11))</f>
        <v>EMPTY</v>
      </c>
      <c r="E1519" s="31">
        <f>IF(Setup!$H$2=0,-1,IF(A1519=0,-1,A1519*1/(Setup!$G$6)))</f>
        <v>-1</v>
      </c>
      <c r="F1519" s="31"/>
    </row>
    <row r="1520" spans="3:6" ht="15.75" x14ac:dyDescent="0.25">
      <c r="C1520" s="29" t="str">
        <f>IF(B1520=0,"EMPTY",Setup!$D$11*((PI()*2*Setup!$B$22*A1520*B1520)/33000))</f>
        <v>EMPTY</v>
      </c>
      <c r="D1520" s="30" t="str">
        <f>IF(Setup!$H$2=0,"EMPTY",IF(B1520=0,"EMPTY",B1520*Setup!$B$22*Setup!$G$6*Setup!$D$11))</f>
        <v>EMPTY</v>
      </c>
      <c r="E1520" s="31">
        <f>IF(Setup!$H$2=0,-1,IF(A1520=0,-1,A1520*1/(Setup!$G$6)))</f>
        <v>-1</v>
      </c>
      <c r="F1520" s="31"/>
    </row>
    <row r="1521" spans="3:6" ht="15.75" x14ac:dyDescent="0.25">
      <c r="C1521" s="29" t="str">
        <f>IF(B1521=0,"EMPTY",Setup!$D$11*((PI()*2*Setup!$B$22*A1521*B1521)/33000))</f>
        <v>EMPTY</v>
      </c>
      <c r="D1521" s="30" t="str">
        <f>IF(Setup!$H$2=0,"EMPTY",IF(B1521=0,"EMPTY",B1521*Setup!$B$22*Setup!$G$6*Setup!$D$11))</f>
        <v>EMPTY</v>
      </c>
      <c r="E1521" s="31">
        <f>IF(Setup!$H$2=0,-1,IF(A1521=0,-1,A1521*1/(Setup!$G$6)))</f>
        <v>-1</v>
      </c>
      <c r="F1521" s="31"/>
    </row>
    <row r="1522" spans="3:6" ht="15.75" x14ac:dyDescent="0.25">
      <c r="C1522" s="29" t="str">
        <f>IF(B1522=0,"EMPTY",Setup!$D$11*((PI()*2*Setup!$B$22*A1522*B1522)/33000))</f>
        <v>EMPTY</v>
      </c>
      <c r="D1522" s="30" t="str">
        <f>IF(Setup!$H$2=0,"EMPTY",IF(B1522=0,"EMPTY",B1522*Setup!$B$22*Setup!$G$6*Setup!$D$11))</f>
        <v>EMPTY</v>
      </c>
      <c r="E1522" s="31">
        <f>IF(Setup!$H$2=0,-1,IF(A1522=0,-1,A1522*1/(Setup!$G$6)))</f>
        <v>-1</v>
      </c>
      <c r="F1522" s="31"/>
    </row>
    <row r="1523" spans="3:6" ht="15.75" x14ac:dyDescent="0.25">
      <c r="C1523" s="29" t="str">
        <f>IF(B1523=0,"EMPTY",Setup!$D$11*((PI()*2*Setup!$B$22*A1523*B1523)/33000))</f>
        <v>EMPTY</v>
      </c>
      <c r="D1523" s="30" t="str">
        <f>IF(Setup!$H$2=0,"EMPTY",IF(B1523=0,"EMPTY",B1523*Setup!$B$22*Setup!$G$6*Setup!$D$11))</f>
        <v>EMPTY</v>
      </c>
      <c r="E1523" s="31">
        <f>IF(Setup!$H$2=0,-1,IF(A1523=0,-1,A1523*1/(Setup!$G$6)))</f>
        <v>-1</v>
      </c>
      <c r="F1523" s="31"/>
    </row>
    <row r="1524" spans="3:6" ht="15.75" x14ac:dyDescent="0.25">
      <c r="C1524" s="29" t="str">
        <f>IF(B1524=0,"EMPTY",Setup!$D$11*((PI()*2*Setup!$B$22*A1524*B1524)/33000))</f>
        <v>EMPTY</v>
      </c>
      <c r="D1524" s="30" t="str">
        <f>IF(Setup!$H$2=0,"EMPTY",IF(B1524=0,"EMPTY",B1524*Setup!$B$22*Setup!$G$6*Setup!$D$11))</f>
        <v>EMPTY</v>
      </c>
      <c r="E1524" s="31">
        <f>IF(Setup!$H$2=0,-1,IF(A1524=0,-1,A1524*1/(Setup!$G$6)))</f>
        <v>-1</v>
      </c>
      <c r="F1524" s="31"/>
    </row>
    <row r="1525" spans="3:6" ht="15.75" x14ac:dyDescent="0.25">
      <c r="C1525" s="29" t="str">
        <f>IF(B1525=0,"EMPTY",Setup!$D$11*((PI()*2*Setup!$B$22*A1525*B1525)/33000))</f>
        <v>EMPTY</v>
      </c>
      <c r="D1525" s="30" t="str">
        <f>IF(Setup!$H$2=0,"EMPTY",IF(B1525=0,"EMPTY",B1525*Setup!$B$22*Setup!$G$6*Setup!$D$11))</f>
        <v>EMPTY</v>
      </c>
      <c r="E1525" s="31">
        <f>IF(Setup!$H$2=0,-1,IF(A1525=0,-1,A1525*1/(Setup!$G$6)))</f>
        <v>-1</v>
      </c>
      <c r="F1525" s="31"/>
    </row>
    <row r="1526" spans="3:6" ht="15.75" x14ac:dyDescent="0.25">
      <c r="C1526" s="29" t="str">
        <f>IF(B1526=0,"EMPTY",Setup!$D$11*((PI()*2*Setup!$B$22*A1526*B1526)/33000))</f>
        <v>EMPTY</v>
      </c>
      <c r="D1526" s="30" t="str">
        <f>IF(Setup!$H$2=0,"EMPTY",IF(B1526=0,"EMPTY",B1526*Setup!$B$22*Setup!$G$6*Setup!$D$11))</f>
        <v>EMPTY</v>
      </c>
      <c r="E1526" s="31">
        <f>IF(Setup!$H$2=0,-1,IF(A1526=0,-1,A1526*1/(Setup!$G$6)))</f>
        <v>-1</v>
      </c>
      <c r="F1526" s="31"/>
    </row>
    <row r="1527" spans="3:6" ht="15.75" x14ac:dyDescent="0.25">
      <c r="C1527" s="29" t="str">
        <f>IF(B1527=0,"EMPTY",Setup!$D$11*((PI()*2*Setup!$B$22*A1527*B1527)/33000))</f>
        <v>EMPTY</v>
      </c>
      <c r="D1527" s="30" t="str">
        <f>IF(Setup!$H$2=0,"EMPTY",IF(B1527=0,"EMPTY",B1527*Setup!$B$22*Setup!$G$6*Setup!$D$11))</f>
        <v>EMPTY</v>
      </c>
      <c r="E1527" s="31">
        <f>IF(Setup!$H$2=0,-1,IF(A1527=0,-1,A1527*1/(Setup!$G$6)))</f>
        <v>-1</v>
      </c>
      <c r="F1527" s="31"/>
    </row>
    <row r="1528" spans="3:6" ht="15.75" x14ac:dyDescent="0.25">
      <c r="C1528" s="29" t="str">
        <f>IF(B1528=0,"EMPTY",Setup!$D$11*((PI()*2*Setup!$B$22*A1528*B1528)/33000))</f>
        <v>EMPTY</v>
      </c>
      <c r="D1528" s="30" t="str">
        <f>IF(Setup!$H$2=0,"EMPTY",IF(B1528=0,"EMPTY",B1528*Setup!$B$22*Setup!$G$6*Setup!$D$11))</f>
        <v>EMPTY</v>
      </c>
      <c r="E1528" s="31">
        <f>IF(Setup!$H$2=0,-1,IF(A1528=0,-1,A1528*1/(Setup!$G$6)))</f>
        <v>-1</v>
      </c>
      <c r="F1528" s="31"/>
    </row>
    <row r="1529" spans="3:6" ht="15.75" x14ac:dyDescent="0.25">
      <c r="C1529" s="29" t="str">
        <f>IF(B1529=0,"EMPTY",Setup!$D$11*((PI()*2*Setup!$B$22*A1529*B1529)/33000))</f>
        <v>EMPTY</v>
      </c>
      <c r="D1529" s="30" t="str">
        <f>IF(Setup!$H$2=0,"EMPTY",IF(B1529=0,"EMPTY",B1529*Setup!$B$22*Setup!$G$6*Setup!$D$11))</f>
        <v>EMPTY</v>
      </c>
      <c r="E1529" s="31">
        <f>IF(Setup!$H$2=0,-1,IF(A1529=0,-1,A1529*1/(Setup!$G$6)))</f>
        <v>-1</v>
      </c>
      <c r="F1529" s="31"/>
    </row>
    <row r="1530" spans="3:6" ht="15.75" x14ac:dyDescent="0.25">
      <c r="C1530" s="29" t="str">
        <f>IF(B1530=0,"EMPTY",Setup!$D$11*((PI()*2*Setup!$B$22*A1530*B1530)/33000))</f>
        <v>EMPTY</v>
      </c>
      <c r="D1530" s="30" t="str">
        <f>IF(Setup!$H$2=0,"EMPTY",IF(B1530=0,"EMPTY",B1530*Setup!$B$22*Setup!$G$6*Setup!$D$11))</f>
        <v>EMPTY</v>
      </c>
      <c r="E1530" s="31">
        <f>IF(Setup!$H$2=0,-1,IF(A1530=0,-1,A1530*1/(Setup!$G$6)))</f>
        <v>-1</v>
      </c>
      <c r="F1530" s="31"/>
    </row>
    <row r="1531" spans="3:6" ht="15.75" x14ac:dyDescent="0.25">
      <c r="C1531" s="29" t="str">
        <f>IF(B1531=0,"EMPTY",Setup!$D$11*((PI()*2*Setup!$B$22*A1531*B1531)/33000))</f>
        <v>EMPTY</v>
      </c>
      <c r="D1531" s="30" t="str">
        <f>IF(Setup!$H$2=0,"EMPTY",IF(B1531=0,"EMPTY",B1531*Setup!$B$22*Setup!$G$6*Setup!$D$11))</f>
        <v>EMPTY</v>
      </c>
      <c r="E1531" s="31">
        <f>IF(Setup!$H$2=0,-1,IF(A1531=0,-1,A1531*1/(Setup!$G$6)))</f>
        <v>-1</v>
      </c>
      <c r="F1531" s="31"/>
    </row>
    <row r="1532" spans="3:6" ht="15.75" x14ac:dyDescent="0.25">
      <c r="C1532" s="29" t="str">
        <f>IF(B1532=0,"EMPTY",Setup!$D$11*((PI()*2*Setup!$B$22*A1532*B1532)/33000))</f>
        <v>EMPTY</v>
      </c>
      <c r="D1532" s="30" t="str">
        <f>IF(Setup!$H$2=0,"EMPTY",IF(B1532=0,"EMPTY",B1532*Setup!$B$22*Setup!$G$6*Setup!$D$11))</f>
        <v>EMPTY</v>
      </c>
      <c r="E1532" s="31">
        <f>IF(Setup!$H$2=0,-1,IF(A1532=0,-1,A1532*1/(Setup!$G$6)))</f>
        <v>-1</v>
      </c>
      <c r="F1532" s="31"/>
    </row>
    <row r="1533" spans="3:6" ht="15.75" x14ac:dyDescent="0.25">
      <c r="C1533" s="29" t="str">
        <f>IF(B1533=0,"EMPTY",Setup!$D$11*((PI()*2*Setup!$B$22*A1533*B1533)/33000))</f>
        <v>EMPTY</v>
      </c>
      <c r="D1533" s="30" t="str">
        <f>IF(Setup!$H$2=0,"EMPTY",IF(B1533=0,"EMPTY",B1533*Setup!$B$22*Setup!$G$6*Setup!$D$11))</f>
        <v>EMPTY</v>
      </c>
      <c r="E1533" s="31">
        <f>IF(Setup!$H$2=0,-1,IF(A1533=0,-1,A1533*1/(Setup!$G$6)))</f>
        <v>-1</v>
      </c>
      <c r="F1533" s="31"/>
    </row>
    <row r="1534" spans="3:6" ht="15.75" x14ac:dyDescent="0.25">
      <c r="C1534" s="29" t="str">
        <f>IF(B1534=0,"EMPTY",Setup!$D$11*((PI()*2*Setup!$B$22*A1534*B1534)/33000))</f>
        <v>EMPTY</v>
      </c>
      <c r="D1534" s="30" t="str">
        <f>IF(Setup!$H$2=0,"EMPTY",IF(B1534=0,"EMPTY",B1534*Setup!$B$22*Setup!$G$6*Setup!$D$11))</f>
        <v>EMPTY</v>
      </c>
      <c r="E1534" s="31">
        <f>IF(Setup!$H$2=0,-1,IF(A1534=0,-1,A1534*1/(Setup!$G$6)))</f>
        <v>-1</v>
      </c>
      <c r="F1534" s="31"/>
    </row>
    <row r="1535" spans="3:6" ht="15.75" x14ac:dyDescent="0.25">
      <c r="C1535" s="29" t="str">
        <f>IF(B1535=0,"EMPTY",Setup!$D$11*((PI()*2*Setup!$B$22*A1535*B1535)/33000))</f>
        <v>EMPTY</v>
      </c>
      <c r="D1535" s="30" t="str">
        <f>IF(Setup!$H$2=0,"EMPTY",IF(B1535=0,"EMPTY",B1535*Setup!$B$22*Setup!$G$6*Setup!$D$11))</f>
        <v>EMPTY</v>
      </c>
      <c r="E1535" s="31">
        <f>IF(Setup!$H$2=0,-1,IF(A1535=0,-1,A1535*1/(Setup!$G$6)))</f>
        <v>-1</v>
      </c>
      <c r="F1535" s="31"/>
    </row>
    <row r="1536" spans="3:6" ht="15.75" x14ac:dyDescent="0.25">
      <c r="C1536" s="29" t="str">
        <f>IF(B1536=0,"EMPTY",Setup!$D$11*((PI()*2*Setup!$B$22*A1536*B1536)/33000))</f>
        <v>EMPTY</v>
      </c>
      <c r="D1536" s="30" t="str">
        <f>IF(Setup!$H$2=0,"EMPTY",IF(B1536=0,"EMPTY",B1536*Setup!$B$22*Setup!$G$6*Setup!$D$11))</f>
        <v>EMPTY</v>
      </c>
      <c r="E1536" s="31">
        <f>IF(Setup!$H$2=0,-1,IF(A1536=0,-1,A1536*1/(Setup!$G$6)))</f>
        <v>-1</v>
      </c>
      <c r="F1536" s="31"/>
    </row>
    <row r="1537" spans="3:6" ht="15.75" x14ac:dyDescent="0.25">
      <c r="C1537" s="29" t="str">
        <f>IF(B1537=0,"EMPTY",Setup!$D$11*((PI()*2*Setup!$B$22*A1537*B1537)/33000))</f>
        <v>EMPTY</v>
      </c>
      <c r="D1537" s="30" t="str">
        <f>IF(Setup!$H$2=0,"EMPTY",IF(B1537=0,"EMPTY",B1537*Setup!$B$22*Setup!$G$6*Setup!$D$11))</f>
        <v>EMPTY</v>
      </c>
      <c r="E1537" s="31">
        <f>IF(Setup!$H$2=0,-1,IF(A1537=0,-1,A1537*1/(Setup!$G$6)))</f>
        <v>-1</v>
      </c>
      <c r="F1537" s="31"/>
    </row>
    <row r="1538" spans="3:6" ht="15.75" x14ac:dyDescent="0.25">
      <c r="C1538" s="29" t="str">
        <f>IF(B1538=0,"EMPTY",Setup!$D$11*((PI()*2*Setup!$B$22*A1538*B1538)/33000))</f>
        <v>EMPTY</v>
      </c>
      <c r="D1538" s="30" t="str">
        <f>IF(Setup!$H$2=0,"EMPTY",IF(B1538=0,"EMPTY",B1538*Setup!$B$22*Setup!$G$6*Setup!$D$11))</f>
        <v>EMPTY</v>
      </c>
      <c r="E1538" s="31">
        <f>IF(Setup!$H$2=0,-1,IF(A1538=0,-1,A1538*1/(Setup!$G$6)))</f>
        <v>-1</v>
      </c>
      <c r="F1538" s="31"/>
    </row>
    <row r="1539" spans="3:6" ht="15.75" x14ac:dyDescent="0.25">
      <c r="C1539" s="29" t="str">
        <f>IF(B1539=0,"EMPTY",Setup!$D$11*((PI()*2*Setup!$B$22*A1539*B1539)/33000))</f>
        <v>EMPTY</v>
      </c>
      <c r="D1539" s="30" t="str">
        <f>IF(Setup!$H$2=0,"EMPTY",IF(B1539=0,"EMPTY",B1539*Setup!$B$22*Setup!$G$6*Setup!$D$11))</f>
        <v>EMPTY</v>
      </c>
      <c r="E1539" s="31">
        <f>IF(Setup!$H$2=0,-1,IF(A1539=0,-1,A1539*1/(Setup!$G$6)))</f>
        <v>-1</v>
      </c>
      <c r="F1539" s="31"/>
    </row>
    <row r="1540" spans="3:6" ht="15.75" x14ac:dyDescent="0.25">
      <c r="C1540" s="29" t="str">
        <f>IF(B1540=0,"EMPTY",Setup!$D$11*((PI()*2*Setup!$B$22*A1540*B1540)/33000))</f>
        <v>EMPTY</v>
      </c>
      <c r="D1540" s="30" t="str">
        <f>IF(Setup!$H$2=0,"EMPTY",IF(B1540=0,"EMPTY",B1540*Setup!$B$22*Setup!$G$6*Setup!$D$11))</f>
        <v>EMPTY</v>
      </c>
      <c r="E1540" s="31">
        <f>IF(Setup!$H$2=0,-1,IF(A1540=0,-1,A1540*1/(Setup!$G$6)))</f>
        <v>-1</v>
      </c>
      <c r="F1540" s="31"/>
    </row>
    <row r="1541" spans="3:6" ht="15.75" x14ac:dyDescent="0.25">
      <c r="C1541" s="29" t="str">
        <f>IF(B1541=0,"EMPTY",Setup!$D$11*((PI()*2*Setup!$B$22*A1541*B1541)/33000))</f>
        <v>EMPTY</v>
      </c>
      <c r="D1541" s="30" t="str">
        <f>IF(Setup!$H$2=0,"EMPTY",IF(B1541=0,"EMPTY",B1541*Setup!$B$22*Setup!$G$6*Setup!$D$11))</f>
        <v>EMPTY</v>
      </c>
      <c r="E1541" s="31">
        <f>IF(Setup!$H$2=0,-1,IF(A1541=0,-1,A1541*1/(Setup!$G$6)))</f>
        <v>-1</v>
      </c>
      <c r="F1541" s="31"/>
    </row>
    <row r="1542" spans="3:6" ht="15.75" x14ac:dyDescent="0.25">
      <c r="C1542" s="29" t="str">
        <f>IF(B1542=0,"EMPTY",Setup!$D$11*((PI()*2*Setup!$B$22*A1542*B1542)/33000))</f>
        <v>EMPTY</v>
      </c>
      <c r="D1542" s="30" t="str">
        <f>IF(Setup!$H$2=0,"EMPTY",IF(B1542=0,"EMPTY",B1542*Setup!$B$22*Setup!$G$6*Setup!$D$11))</f>
        <v>EMPTY</v>
      </c>
      <c r="E1542" s="31">
        <f>IF(Setup!$H$2=0,-1,IF(A1542=0,-1,A1542*1/(Setup!$G$6)))</f>
        <v>-1</v>
      </c>
      <c r="F1542" s="31"/>
    </row>
    <row r="1543" spans="3:6" ht="15.75" x14ac:dyDescent="0.25">
      <c r="C1543" s="29" t="str">
        <f>IF(B1543=0,"EMPTY",Setup!$D$11*((PI()*2*Setup!$B$22*A1543*B1543)/33000))</f>
        <v>EMPTY</v>
      </c>
      <c r="D1543" s="30" t="str">
        <f>IF(Setup!$H$2=0,"EMPTY",IF(B1543=0,"EMPTY",B1543*Setup!$B$22*Setup!$G$6*Setup!$D$11))</f>
        <v>EMPTY</v>
      </c>
      <c r="E1543" s="31">
        <f>IF(Setup!$H$2=0,-1,IF(A1543=0,-1,A1543*1/(Setup!$G$6)))</f>
        <v>-1</v>
      </c>
      <c r="F1543" s="31"/>
    </row>
    <row r="1544" spans="3:6" ht="15.75" x14ac:dyDescent="0.25">
      <c r="C1544" s="29" t="str">
        <f>IF(B1544=0,"EMPTY",Setup!$D$11*((PI()*2*Setup!$B$22*A1544*B1544)/33000))</f>
        <v>EMPTY</v>
      </c>
      <c r="D1544" s="30" t="str">
        <f>IF(Setup!$H$2=0,"EMPTY",IF(B1544=0,"EMPTY",B1544*Setup!$B$22*Setup!$G$6*Setup!$D$11))</f>
        <v>EMPTY</v>
      </c>
      <c r="E1544" s="31">
        <f>IF(Setup!$H$2=0,-1,IF(A1544=0,-1,A1544*1/(Setup!$G$6)))</f>
        <v>-1</v>
      </c>
      <c r="F1544" s="31"/>
    </row>
    <row r="1545" spans="3:6" ht="15.75" x14ac:dyDescent="0.25">
      <c r="C1545" s="29" t="str">
        <f>IF(B1545=0,"EMPTY",Setup!$D$11*((PI()*2*Setup!$B$22*A1545*B1545)/33000))</f>
        <v>EMPTY</v>
      </c>
      <c r="D1545" s="30" t="str">
        <f>IF(Setup!$H$2=0,"EMPTY",IF(B1545=0,"EMPTY",B1545*Setup!$B$22*Setup!$G$6*Setup!$D$11))</f>
        <v>EMPTY</v>
      </c>
      <c r="E1545" s="31">
        <f>IF(Setup!$H$2=0,-1,IF(A1545=0,-1,A1545*1/(Setup!$G$6)))</f>
        <v>-1</v>
      </c>
      <c r="F1545" s="31"/>
    </row>
    <row r="1546" spans="3:6" ht="15.75" x14ac:dyDescent="0.25">
      <c r="C1546" s="29" t="str">
        <f>IF(B1546=0,"EMPTY",Setup!$D$11*((PI()*2*Setup!$B$22*A1546*B1546)/33000))</f>
        <v>EMPTY</v>
      </c>
      <c r="D1546" s="30" t="str">
        <f>IF(Setup!$H$2=0,"EMPTY",IF(B1546=0,"EMPTY",B1546*Setup!$B$22*Setup!$G$6*Setup!$D$11))</f>
        <v>EMPTY</v>
      </c>
      <c r="E1546" s="31">
        <f>IF(Setup!$H$2=0,-1,IF(A1546=0,-1,A1546*1/(Setup!$G$6)))</f>
        <v>-1</v>
      </c>
      <c r="F1546" s="31"/>
    </row>
    <row r="1547" spans="3:6" ht="15.75" x14ac:dyDescent="0.25">
      <c r="C1547" s="29" t="str">
        <f>IF(B1547=0,"EMPTY",Setup!$D$11*((PI()*2*Setup!$B$22*A1547*B1547)/33000))</f>
        <v>EMPTY</v>
      </c>
      <c r="D1547" s="30" t="str">
        <f>IF(Setup!$H$2=0,"EMPTY",IF(B1547=0,"EMPTY",B1547*Setup!$B$22*Setup!$G$6*Setup!$D$11))</f>
        <v>EMPTY</v>
      </c>
      <c r="E1547" s="31">
        <f>IF(Setup!$H$2=0,-1,IF(A1547=0,-1,A1547*1/(Setup!$G$6)))</f>
        <v>-1</v>
      </c>
      <c r="F1547" s="31"/>
    </row>
    <row r="1548" spans="3:6" ht="15.75" x14ac:dyDescent="0.25">
      <c r="C1548" s="29" t="str">
        <f>IF(B1548=0,"EMPTY",Setup!$D$11*((PI()*2*Setup!$B$22*A1548*B1548)/33000))</f>
        <v>EMPTY</v>
      </c>
      <c r="D1548" s="30" t="str">
        <f>IF(Setup!$H$2=0,"EMPTY",IF(B1548=0,"EMPTY",B1548*Setup!$B$22*Setup!$G$6*Setup!$D$11))</f>
        <v>EMPTY</v>
      </c>
      <c r="E1548" s="31">
        <f>IF(Setup!$H$2=0,-1,IF(A1548=0,-1,A1548*1/(Setup!$G$6)))</f>
        <v>-1</v>
      </c>
      <c r="F1548" s="31"/>
    </row>
    <row r="1549" spans="3:6" ht="15.75" x14ac:dyDescent="0.25">
      <c r="C1549" s="29" t="str">
        <f>IF(B1549=0,"EMPTY",Setup!$D$11*((PI()*2*Setup!$B$22*A1549*B1549)/33000))</f>
        <v>EMPTY</v>
      </c>
      <c r="D1549" s="30" t="str">
        <f>IF(Setup!$H$2=0,"EMPTY",IF(B1549=0,"EMPTY",B1549*Setup!$B$22*Setup!$G$6*Setup!$D$11))</f>
        <v>EMPTY</v>
      </c>
      <c r="E1549" s="31">
        <f>IF(Setup!$H$2=0,-1,IF(A1549=0,-1,A1549*1/(Setup!$G$6)))</f>
        <v>-1</v>
      </c>
      <c r="F1549" s="31"/>
    </row>
    <row r="1550" spans="3:6" ht="15.75" x14ac:dyDescent="0.25">
      <c r="C1550" s="29" t="str">
        <f>IF(B1550=0,"EMPTY",Setup!$D$11*((PI()*2*Setup!$B$22*A1550*B1550)/33000))</f>
        <v>EMPTY</v>
      </c>
      <c r="D1550" s="30" t="str">
        <f>IF(Setup!$H$2=0,"EMPTY",IF(B1550=0,"EMPTY",B1550*Setup!$B$22*Setup!$G$6*Setup!$D$11))</f>
        <v>EMPTY</v>
      </c>
      <c r="E1550" s="31">
        <f>IF(Setup!$H$2=0,-1,IF(A1550=0,-1,A1550*1/(Setup!$G$6)))</f>
        <v>-1</v>
      </c>
      <c r="F1550" s="31"/>
    </row>
    <row r="1551" spans="3:6" ht="15.75" x14ac:dyDescent="0.25">
      <c r="C1551" s="29" t="str">
        <f>IF(B1551=0,"EMPTY",Setup!$D$11*((PI()*2*Setup!$B$22*A1551*B1551)/33000))</f>
        <v>EMPTY</v>
      </c>
      <c r="D1551" s="30" t="str">
        <f>IF(Setup!$H$2=0,"EMPTY",IF(B1551=0,"EMPTY",B1551*Setup!$B$22*Setup!$G$6*Setup!$D$11))</f>
        <v>EMPTY</v>
      </c>
      <c r="E1551" s="31">
        <f>IF(Setup!$H$2=0,-1,IF(A1551=0,-1,A1551*1/(Setup!$G$6)))</f>
        <v>-1</v>
      </c>
      <c r="F1551" s="31"/>
    </row>
    <row r="1552" spans="3:6" ht="15.75" x14ac:dyDescent="0.25">
      <c r="C1552" s="29" t="str">
        <f>IF(B1552=0,"EMPTY",Setup!$D$11*((PI()*2*Setup!$B$22*A1552*B1552)/33000))</f>
        <v>EMPTY</v>
      </c>
      <c r="D1552" s="30" t="str">
        <f>IF(Setup!$H$2=0,"EMPTY",IF(B1552=0,"EMPTY",B1552*Setup!$B$22*Setup!$G$6*Setup!$D$11))</f>
        <v>EMPTY</v>
      </c>
      <c r="E1552" s="31">
        <f>IF(Setup!$H$2=0,-1,IF(A1552=0,-1,A1552*1/(Setup!$G$6)))</f>
        <v>-1</v>
      </c>
      <c r="F1552" s="31"/>
    </row>
    <row r="1553" spans="3:6" ht="15.75" x14ac:dyDescent="0.25">
      <c r="C1553" s="29" t="str">
        <f>IF(B1553=0,"EMPTY",Setup!$D$11*((PI()*2*Setup!$B$22*A1553*B1553)/33000))</f>
        <v>EMPTY</v>
      </c>
      <c r="D1553" s="30" t="str">
        <f>IF(Setup!$H$2=0,"EMPTY",IF(B1553=0,"EMPTY",B1553*Setup!$B$22*Setup!$G$6*Setup!$D$11))</f>
        <v>EMPTY</v>
      </c>
      <c r="E1553" s="31">
        <f>IF(Setup!$H$2=0,-1,IF(A1553=0,-1,A1553*1/(Setup!$G$6)))</f>
        <v>-1</v>
      </c>
      <c r="F1553" s="31"/>
    </row>
    <row r="1554" spans="3:6" ht="15.75" x14ac:dyDescent="0.25">
      <c r="C1554" s="29" t="str">
        <f>IF(B1554=0,"EMPTY",Setup!$D$11*((PI()*2*Setup!$B$22*A1554*B1554)/33000))</f>
        <v>EMPTY</v>
      </c>
      <c r="D1554" s="30" t="str">
        <f>IF(Setup!$H$2=0,"EMPTY",IF(B1554=0,"EMPTY",B1554*Setup!$B$22*Setup!$G$6*Setup!$D$11))</f>
        <v>EMPTY</v>
      </c>
      <c r="E1554" s="31">
        <f>IF(Setup!$H$2=0,-1,IF(A1554=0,-1,A1554*1/(Setup!$G$6)))</f>
        <v>-1</v>
      </c>
      <c r="F1554" s="31"/>
    </row>
    <row r="1555" spans="3:6" ht="15.75" x14ac:dyDescent="0.25">
      <c r="C1555" s="29" t="str">
        <f>IF(B1555=0,"EMPTY",Setup!$D$11*((PI()*2*Setup!$B$22*A1555*B1555)/33000))</f>
        <v>EMPTY</v>
      </c>
      <c r="D1555" s="30" t="str">
        <f>IF(Setup!$H$2=0,"EMPTY",IF(B1555=0,"EMPTY",B1555*Setup!$B$22*Setup!$G$6*Setup!$D$11))</f>
        <v>EMPTY</v>
      </c>
      <c r="E1555" s="31">
        <f>IF(Setup!$H$2=0,-1,IF(A1555=0,-1,A1555*1/(Setup!$G$6)))</f>
        <v>-1</v>
      </c>
      <c r="F1555" s="31"/>
    </row>
    <row r="1556" spans="3:6" ht="15.75" x14ac:dyDescent="0.25">
      <c r="C1556" s="29" t="str">
        <f>IF(B1556=0,"EMPTY",Setup!$D$11*((PI()*2*Setup!$B$22*A1556*B1556)/33000))</f>
        <v>EMPTY</v>
      </c>
      <c r="D1556" s="30" t="str">
        <f>IF(Setup!$H$2=0,"EMPTY",IF(B1556=0,"EMPTY",B1556*Setup!$B$22*Setup!$G$6*Setup!$D$11))</f>
        <v>EMPTY</v>
      </c>
      <c r="E1556" s="31">
        <f>IF(Setup!$H$2=0,-1,IF(A1556=0,-1,A1556*1/(Setup!$G$6)))</f>
        <v>-1</v>
      </c>
      <c r="F1556" s="31"/>
    </row>
    <row r="1557" spans="3:6" ht="15.75" x14ac:dyDescent="0.25">
      <c r="C1557" s="29" t="str">
        <f>IF(B1557=0,"EMPTY",Setup!$D$11*((PI()*2*Setup!$B$22*A1557*B1557)/33000))</f>
        <v>EMPTY</v>
      </c>
      <c r="D1557" s="30" t="str">
        <f>IF(Setup!$H$2=0,"EMPTY",IF(B1557=0,"EMPTY",B1557*Setup!$B$22*Setup!$G$6*Setup!$D$11))</f>
        <v>EMPTY</v>
      </c>
      <c r="E1557" s="31">
        <f>IF(Setup!$H$2=0,-1,IF(A1557=0,-1,A1557*1/(Setup!$G$6)))</f>
        <v>-1</v>
      </c>
      <c r="F1557" s="31"/>
    </row>
    <row r="1558" spans="3:6" ht="15.75" x14ac:dyDescent="0.25">
      <c r="C1558" s="29" t="str">
        <f>IF(B1558=0,"EMPTY",Setup!$D$11*((PI()*2*Setup!$B$22*A1558*B1558)/33000))</f>
        <v>EMPTY</v>
      </c>
      <c r="D1558" s="30" t="str">
        <f>IF(Setup!$H$2=0,"EMPTY",IF(B1558=0,"EMPTY",B1558*Setup!$B$22*Setup!$G$6*Setup!$D$11))</f>
        <v>EMPTY</v>
      </c>
      <c r="E1558" s="31">
        <f>IF(Setup!$H$2=0,-1,IF(A1558=0,-1,A1558*1/(Setup!$G$6)))</f>
        <v>-1</v>
      </c>
      <c r="F1558" s="31"/>
    </row>
    <row r="1559" spans="3:6" ht="15.75" x14ac:dyDescent="0.25">
      <c r="C1559" s="29" t="str">
        <f>IF(B1559=0,"EMPTY",Setup!$D$11*((PI()*2*Setup!$B$22*A1559*B1559)/33000))</f>
        <v>EMPTY</v>
      </c>
      <c r="D1559" s="30" t="str">
        <f>IF(Setup!$H$2=0,"EMPTY",IF(B1559=0,"EMPTY",B1559*Setup!$B$22*Setup!$G$6*Setup!$D$11))</f>
        <v>EMPTY</v>
      </c>
      <c r="E1559" s="31">
        <f>IF(Setup!$H$2=0,-1,IF(A1559=0,-1,A1559*1/(Setup!$G$6)))</f>
        <v>-1</v>
      </c>
      <c r="F1559" s="31"/>
    </row>
    <row r="1560" spans="3:6" ht="15.75" x14ac:dyDescent="0.25">
      <c r="C1560" s="29" t="str">
        <f>IF(B1560=0,"EMPTY",Setup!$D$11*((PI()*2*Setup!$B$22*A1560*B1560)/33000))</f>
        <v>EMPTY</v>
      </c>
      <c r="D1560" s="30" t="str">
        <f>IF(Setup!$H$2=0,"EMPTY",IF(B1560=0,"EMPTY",B1560*Setup!$B$22*Setup!$G$6*Setup!$D$11))</f>
        <v>EMPTY</v>
      </c>
      <c r="E1560" s="31">
        <f>IF(Setup!$H$2=0,-1,IF(A1560=0,-1,A1560*1/(Setup!$G$6)))</f>
        <v>-1</v>
      </c>
      <c r="F1560" s="31"/>
    </row>
    <row r="1561" spans="3:6" ht="15.75" x14ac:dyDescent="0.25">
      <c r="C1561" s="29" t="str">
        <f>IF(B1561=0,"EMPTY",Setup!$D$11*((PI()*2*Setup!$B$22*A1561*B1561)/33000))</f>
        <v>EMPTY</v>
      </c>
      <c r="D1561" s="30" t="str">
        <f>IF(Setup!$H$2=0,"EMPTY",IF(B1561=0,"EMPTY",B1561*Setup!$B$22*Setup!$G$6*Setup!$D$11))</f>
        <v>EMPTY</v>
      </c>
      <c r="E1561" s="31">
        <f>IF(Setup!$H$2=0,-1,IF(A1561=0,-1,A1561*1/(Setup!$G$6)))</f>
        <v>-1</v>
      </c>
      <c r="F1561" s="31"/>
    </row>
    <row r="1562" spans="3:6" ht="15.75" x14ac:dyDescent="0.25">
      <c r="C1562" s="29" t="str">
        <f>IF(B1562=0,"EMPTY",Setup!$D$11*((PI()*2*Setup!$B$22*A1562*B1562)/33000))</f>
        <v>EMPTY</v>
      </c>
      <c r="D1562" s="30" t="str">
        <f>IF(Setup!$H$2=0,"EMPTY",IF(B1562=0,"EMPTY",B1562*Setup!$B$22*Setup!$G$6*Setup!$D$11))</f>
        <v>EMPTY</v>
      </c>
      <c r="E1562" s="31">
        <f>IF(Setup!$H$2=0,-1,IF(A1562=0,-1,A1562*1/(Setup!$G$6)))</f>
        <v>-1</v>
      </c>
      <c r="F1562" s="31"/>
    </row>
    <row r="1563" spans="3:6" ht="15.75" x14ac:dyDescent="0.25">
      <c r="C1563" s="29" t="str">
        <f>IF(B1563=0,"EMPTY",Setup!$D$11*((PI()*2*Setup!$B$22*A1563*B1563)/33000))</f>
        <v>EMPTY</v>
      </c>
      <c r="D1563" s="30" t="str">
        <f>IF(Setup!$H$2=0,"EMPTY",IF(B1563=0,"EMPTY",B1563*Setup!$B$22*Setup!$G$6*Setup!$D$11))</f>
        <v>EMPTY</v>
      </c>
      <c r="E1563" s="31">
        <f>IF(Setup!$H$2=0,-1,IF(A1563=0,-1,A1563*1/(Setup!$G$6)))</f>
        <v>-1</v>
      </c>
      <c r="F1563" s="31"/>
    </row>
    <row r="1564" spans="3:6" ht="15.75" x14ac:dyDescent="0.25">
      <c r="C1564" s="29" t="str">
        <f>IF(B1564=0,"EMPTY",Setup!$D$11*((PI()*2*Setup!$B$22*A1564*B1564)/33000))</f>
        <v>EMPTY</v>
      </c>
      <c r="D1564" s="30" t="str">
        <f>IF(Setup!$H$2=0,"EMPTY",IF(B1564=0,"EMPTY",B1564*Setup!$B$22*Setup!$G$6*Setup!$D$11))</f>
        <v>EMPTY</v>
      </c>
      <c r="E1564" s="31">
        <f>IF(Setup!$H$2=0,-1,IF(A1564=0,-1,A1564*1/(Setup!$G$6)))</f>
        <v>-1</v>
      </c>
      <c r="F1564" s="31"/>
    </row>
    <row r="1565" spans="3:6" ht="15.75" x14ac:dyDescent="0.25">
      <c r="C1565" s="29" t="str">
        <f>IF(B1565=0,"EMPTY",Setup!$D$11*((PI()*2*Setup!$B$22*A1565*B1565)/33000))</f>
        <v>EMPTY</v>
      </c>
      <c r="D1565" s="30" t="str">
        <f>IF(Setup!$H$2=0,"EMPTY",IF(B1565=0,"EMPTY",B1565*Setup!$B$22*Setup!$G$6*Setup!$D$11))</f>
        <v>EMPTY</v>
      </c>
      <c r="E1565" s="31">
        <f>IF(Setup!$H$2=0,-1,IF(A1565=0,-1,A1565*1/(Setup!$G$6)))</f>
        <v>-1</v>
      </c>
      <c r="F1565" s="31"/>
    </row>
    <row r="1566" spans="3:6" ht="15.75" x14ac:dyDescent="0.25">
      <c r="C1566" s="29" t="str">
        <f>IF(B1566=0,"EMPTY",Setup!$D$11*((PI()*2*Setup!$B$22*A1566*B1566)/33000))</f>
        <v>EMPTY</v>
      </c>
      <c r="D1566" s="30" t="str">
        <f>IF(Setup!$H$2=0,"EMPTY",IF(B1566=0,"EMPTY",B1566*Setup!$B$22*Setup!$G$6*Setup!$D$11))</f>
        <v>EMPTY</v>
      </c>
      <c r="E1566" s="31">
        <f>IF(Setup!$H$2=0,-1,IF(A1566=0,-1,A1566*1/(Setup!$G$6)))</f>
        <v>-1</v>
      </c>
      <c r="F1566" s="31"/>
    </row>
    <row r="1567" spans="3:6" ht="15.75" x14ac:dyDescent="0.25">
      <c r="C1567" s="29" t="str">
        <f>IF(B1567=0,"EMPTY",Setup!$D$11*((PI()*2*Setup!$B$22*A1567*B1567)/33000))</f>
        <v>EMPTY</v>
      </c>
      <c r="D1567" s="30" t="str">
        <f>IF(Setup!$H$2=0,"EMPTY",IF(B1567=0,"EMPTY",B1567*Setup!$B$22*Setup!$G$6*Setup!$D$11))</f>
        <v>EMPTY</v>
      </c>
      <c r="E1567" s="31">
        <f>IF(Setup!$H$2=0,-1,IF(A1567=0,-1,A1567*1/(Setup!$G$6)))</f>
        <v>-1</v>
      </c>
      <c r="F1567" s="31"/>
    </row>
    <row r="1568" spans="3:6" ht="15.75" x14ac:dyDescent="0.25">
      <c r="C1568" s="29" t="str">
        <f>IF(B1568=0,"EMPTY",Setup!$D$11*((PI()*2*Setup!$B$22*A1568*B1568)/33000))</f>
        <v>EMPTY</v>
      </c>
      <c r="D1568" s="30" t="str">
        <f>IF(Setup!$H$2=0,"EMPTY",IF(B1568=0,"EMPTY",B1568*Setup!$B$22*Setup!$G$6*Setup!$D$11))</f>
        <v>EMPTY</v>
      </c>
      <c r="E1568" s="31">
        <f>IF(Setup!$H$2=0,-1,IF(A1568=0,-1,A1568*1/(Setup!$G$6)))</f>
        <v>-1</v>
      </c>
      <c r="F1568" s="31"/>
    </row>
    <row r="1569" spans="3:6" ht="15.75" x14ac:dyDescent="0.25">
      <c r="C1569" s="29" t="str">
        <f>IF(B1569=0,"EMPTY",Setup!$D$11*((PI()*2*Setup!$B$22*A1569*B1569)/33000))</f>
        <v>EMPTY</v>
      </c>
      <c r="D1569" s="30" t="str">
        <f>IF(Setup!$H$2=0,"EMPTY",IF(B1569=0,"EMPTY",B1569*Setup!$B$22*Setup!$G$6*Setup!$D$11))</f>
        <v>EMPTY</v>
      </c>
      <c r="E1569" s="31">
        <f>IF(Setup!$H$2=0,-1,IF(A1569=0,-1,A1569*1/(Setup!$G$6)))</f>
        <v>-1</v>
      </c>
      <c r="F1569" s="31"/>
    </row>
    <row r="1570" spans="3:6" ht="15.75" x14ac:dyDescent="0.25">
      <c r="C1570" s="29" t="str">
        <f>IF(B1570=0,"EMPTY",Setup!$D$11*((PI()*2*Setup!$B$22*A1570*B1570)/33000))</f>
        <v>EMPTY</v>
      </c>
      <c r="D1570" s="30" t="str">
        <f>IF(Setup!$H$2=0,"EMPTY",IF(B1570=0,"EMPTY",B1570*Setup!$B$22*Setup!$G$6*Setup!$D$11))</f>
        <v>EMPTY</v>
      </c>
      <c r="E1570" s="31">
        <f>IF(Setup!$H$2=0,-1,IF(A1570=0,-1,A1570*1/(Setup!$G$6)))</f>
        <v>-1</v>
      </c>
      <c r="F1570" s="31"/>
    </row>
    <row r="1571" spans="3:6" ht="15.75" x14ac:dyDescent="0.25">
      <c r="C1571" s="29" t="str">
        <f>IF(B1571=0,"EMPTY",Setup!$D$11*((PI()*2*Setup!$B$22*A1571*B1571)/33000))</f>
        <v>EMPTY</v>
      </c>
      <c r="D1571" s="30" t="str">
        <f>IF(Setup!$H$2=0,"EMPTY",IF(B1571=0,"EMPTY",B1571*Setup!$B$22*Setup!$G$6*Setup!$D$11))</f>
        <v>EMPTY</v>
      </c>
      <c r="E1571" s="31">
        <f>IF(Setup!$H$2=0,-1,IF(A1571=0,-1,A1571*1/(Setup!$G$6)))</f>
        <v>-1</v>
      </c>
      <c r="F1571" s="31"/>
    </row>
    <row r="1572" spans="3:6" ht="15.75" x14ac:dyDescent="0.25">
      <c r="C1572" s="29" t="str">
        <f>IF(B1572=0,"EMPTY",Setup!$D$11*((PI()*2*Setup!$B$22*A1572*B1572)/33000))</f>
        <v>EMPTY</v>
      </c>
      <c r="D1572" s="30" t="str">
        <f>IF(Setup!$H$2=0,"EMPTY",IF(B1572=0,"EMPTY",B1572*Setup!$B$22*Setup!$G$6*Setup!$D$11))</f>
        <v>EMPTY</v>
      </c>
      <c r="E1572" s="31">
        <f>IF(Setup!$H$2=0,-1,IF(A1572=0,-1,A1572*1/(Setup!$G$6)))</f>
        <v>-1</v>
      </c>
      <c r="F1572" s="31"/>
    </row>
    <row r="1573" spans="3:6" ht="15.75" x14ac:dyDescent="0.25">
      <c r="C1573" s="29" t="str">
        <f>IF(B1573=0,"EMPTY",Setup!$D$11*((PI()*2*Setup!$B$22*A1573*B1573)/33000))</f>
        <v>EMPTY</v>
      </c>
      <c r="D1573" s="30" t="str">
        <f>IF(Setup!$H$2=0,"EMPTY",IF(B1573=0,"EMPTY",B1573*Setup!$B$22*Setup!$G$6*Setup!$D$11))</f>
        <v>EMPTY</v>
      </c>
      <c r="E1573" s="31">
        <f>IF(Setup!$H$2=0,-1,IF(A1573=0,-1,A1573*1/(Setup!$G$6)))</f>
        <v>-1</v>
      </c>
      <c r="F1573" s="31"/>
    </row>
    <row r="1574" spans="3:6" ht="15.75" x14ac:dyDescent="0.25">
      <c r="C1574" s="29" t="str">
        <f>IF(B1574=0,"EMPTY",Setup!$D$11*((PI()*2*Setup!$B$22*A1574*B1574)/33000))</f>
        <v>EMPTY</v>
      </c>
      <c r="D1574" s="30" t="str">
        <f>IF(Setup!$H$2=0,"EMPTY",IF(B1574=0,"EMPTY",B1574*Setup!$B$22*Setup!$G$6*Setup!$D$11))</f>
        <v>EMPTY</v>
      </c>
      <c r="E1574" s="31">
        <f>IF(Setup!$H$2=0,-1,IF(A1574=0,-1,A1574*1/(Setup!$G$6)))</f>
        <v>-1</v>
      </c>
      <c r="F1574" s="31"/>
    </row>
    <row r="1575" spans="3:6" ht="15.75" x14ac:dyDescent="0.25">
      <c r="C1575" s="29" t="str">
        <f>IF(B1575=0,"EMPTY",Setup!$D$11*((PI()*2*Setup!$B$22*A1575*B1575)/33000))</f>
        <v>EMPTY</v>
      </c>
      <c r="D1575" s="30" t="str">
        <f>IF(Setup!$H$2=0,"EMPTY",IF(B1575=0,"EMPTY",B1575*Setup!$B$22*Setup!$G$6*Setup!$D$11))</f>
        <v>EMPTY</v>
      </c>
      <c r="E1575" s="31">
        <f>IF(Setup!$H$2=0,-1,IF(A1575=0,-1,A1575*1/(Setup!$G$6)))</f>
        <v>-1</v>
      </c>
      <c r="F1575" s="31"/>
    </row>
    <row r="1576" spans="3:6" ht="15.75" x14ac:dyDescent="0.25">
      <c r="C1576" s="29" t="str">
        <f>IF(B1576=0,"EMPTY",Setup!$D$11*((PI()*2*Setup!$B$22*A1576*B1576)/33000))</f>
        <v>EMPTY</v>
      </c>
      <c r="D1576" s="30" t="str">
        <f>IF(Setup!$H$2=0,"EMPTY",IF(B1576=0,"EMPTY",B1576*Setup!$B$22*Setup!$G$6*Setup!$D$11))</f>
        <v>EMPTY</v>
      </c>
      <c r="E1576" s="31">
        <f>IF(Setup!$H$2=0,-1,IF(A1576=0,-1,A1576*1/(Setup!$G$6)))</f>
        <v>-1</v>
      </c>
      <c r="F1576" s="31"/>
    </row>
    <row r="1577" spans="3:6" ht="15.75" x14ac:dyDescent="0.25">
      <c r="C1577" s="29" t="str">
        <f>IF(B1577=0,"EMPTY",Setup!$D$11*((PI()*2*Setup!$B$22*A1577*B1577)/33000))</f>
        <v>EMPTY</v>
      </c>
      <c r="D1577" s="30" t="str">
        <f>IF(Setup!$H$2=0,"EMPTY",IF(B1577=0,"EMPTY",B1577*Setup!$B$22*Setup!$G$6*Setup!$D$11))</f>
        <v>EMPTY</v>
      </c>
      <c r="E1577" s="31">
        <f>IF(Setup!$H$2=0,-1,IF(A1577=0,-1,A1577*1/(Setup!$G$6)))</f>
        <v>-1</v>
      </c>
      <c r="F1577" s="31"/>
    </row>
    <row r="1578" spans="3:6" ht="15.75" x14ac:dyDescent="0.25">
      <c r="C1578" s="29" t="str">
        <f>IF(B1578=0,"EMPTY",Setup!$D$11*((PI()*2*Setup!$B$22*A1578*B1578)/33000))</f>
        <v>EMPTY</v>
      </c>
      <c r="D1578" s="30" t="str">
        <f>IF(Setup!$H$2=0,"EMPTY",IF(B1578=0,"EMPTY",B1578*Setup!$B$22*Setup!$G$6*Setup!$D$11))</f>
        <v>EMPTY</v>
      </c>
      <c r="E1578" s="31">
        <f>IF(Setup!$H$2=0,-1,IF(A1578=0,-1,A1578*1/(Setup!$G$6)))</f>
        <v>-1</v>
      </c>
      <c r="F1578" s="31"/>
    </row>
    <row r="1579" spans="3:6" ht="15.75" x14ac:dyDescent="0.25">
      <c r="C1579" s="29" t="str">
        <f>IF(B1579=0,"EMPTY",Setup!$D$11*((PI()*2*Setup!$B$22*A1579*B1579)/33000))</f>
        <v>EMPTY</v>
      </c>
      <c r="D1579" s="30" t="str">
        <f>IF(Setup!$H$2=0,"EMPTY",IF(B1579=0,"EMPTY",B1579*Setup!$B$22*Setup!$G$6*Setup!$D$11))</f>
        <v>EMPTY</v>
      </c>
      <c r="E1579" s="31">
        <f>IF(Setup!$H$2=0,-1,IF(A1579=0,-1,A1579*1/(Setup!$G$6)))</f>
        <v>-1</v>
      </c>
      <c r="F1579" s="31"/>
    </row>
    <row r="1580" spans="3:6" ht="15.75" x14ac:dyDescent="0.25">
      <c r="C1580" s="29" t="str">
        <f>IF(B1580=0,"EMPTY",Setup!$D$11*((PI()*2*Setup!$B$22*A1580*B1580)/33000))</f>
        <v>EMPTY</v>
      </c>
      <c r="D1580" s="30" t="str">
        <f>IF(Setup!$H$2=0,"EMPTY",IF(B1580=0,"EMPTY",B1580*Setup!$B$22*Setup!$G$6*Setup!$D$11))</f>
        <v>EMPTY</v>
      </c>
      <c r="E1580" s="31">
        <f>IF(Setup!$H$2=0,-1,IF(A1580=0,-1,A1580*1/(Setup!$G$6)))</f>
        <v>-1</v>
      </c>
      <c r="F1580" s="31"/>
    </row>
    <row r="1581" spans="3:6" ht="15.75" x14ac:dyDescent="0.25">
      <c r="C1581" s="29" t="str">
        <f>IF(B1581=0,"EMPTY",Setup!$D$11*((PI()*2*Setup!$B$22*A1581*B1581)/33000))</f>
        <v>EMPTY</v>
      </c>
      <c r="D1581" s="30" t="str">
        <f>IF(Setup!$H$2=0,"EMPTY",IF(B1581=0,"EMPTY",B1581*Setup!$B$22*Setup!$G$6*Setup!$D$11))</f>
        <v>EMPTY</v>
      </c>
      <c r="E1581" s="31">
        <f>IF(Setup!$H$2=0,-1,IF(A1581=0,-1,A1581*1/(Setup!$G$6)))</f>
        <v>-1</v>
      </c>
      <c r="F1581" s="31"/>
    </row>
    <row r="1582" spans="3:6" ht="15.75" x14ac:dyDescent="0.25">
      <c r="C1582" s="29" t="str">
        <f>IF(B1582=0,"EMPTY",Setup!$D$11*((PI()*2*Setup!$B$22*A1582*B1582)/33000))</f>
        <v>EMPTY</v>
      </c>
      <c r="D1582" s="30" t="str">
        <f>IF(Setup!$H$2=0,"EMPTY",IF(B1582=0,"EMPTY",B1582*Setup!$B$22*Setup!$G$6*Setup!$D$11))</f>
        <v>EMPTY</v>
      </c>
      <c r="E1582" s="31">
        <f>IF(Setup!$H$2=0,-1,IF(A1582=0,-1,A1582*1/(Setup!$G$6)))</f>
        <v>-1</v>
      </c>
      <c r="F1582" s="31"/>
    </row>
    <row r="1583" spans="3:6" ht="15.75" x14ac:dyDescent="0.25">
      <c r="C1583" s="29" t="str">
        <f>IF(B1583=0,"EMPTY",Setup!$D$11*((PI()*2*Setup!$B$22*A1583*B1583)/33000))</f>
        <v>EMPTY</v>
      </c>
      <c r="D1583" s="30" t="str">
        <f>IF(Setup!$H$2=0,"EMPTY",IF(B1583=0,"EMPTY",B1583*Setup!$B$22*Setup!$G$6*Setup!$D$11))</f>
        <v>EMPTY</v>
      </c>
      <c r="E1583" s="31">
        <f>IF(Setup!$H$2=0,-1,IF(A1583=0,-1,A1583*1/(Setup!$G$6)))</f>
        <v>-1</v>
      </c>
      <c r="F1583" s="31"/>
    </row>
    <row r="1584" spans="3:6" ht="15.75" x14ac:dyDescent="0.25">
      <c r="C1584" s="29" t="str">
        <f>IF(B1584=0,"EMPTY",Setup!$D$11*((PI()*2*Setup!$B$22*A1584*B1584)/33000))</f>
        <v>EMPTY</v>
      </c>
      <c r="D1584" s="30" t="str">
        <f>IF(Setup!$H$2=0,"EMPTY",IF(B1584=0,"EMPTY",B1584*Setup!$B$22*Setup!$G$6*Setup!$D$11))</f>
        <v>EMPTY</v>
      </c>
      <c r="E1584" s="31">
        <f>IF(Setup!$H$2=0,-1,IF(A1584=0,-1,A1584*1/(Setup!$G$6)))</f>
        <v>-1</v>
      </c>
      <c r="F1584" s="31"/>
    </row>
    <row r="1585" spans="3:6" ht="15.75" x14ac:dyDescent="0.25">
      <c r="C1585" s="29" t="str">
        <f>IF(B1585=0,"EMPTY",Setup!$D$11*((PI()*2*Setup!$B$22*A1585*B1585)/33000))</f>
        <v>EMPTY</v>
      </c>
      <c r="D1585" s="30" t="str">
        <f>IF(Setup!$H$2=0,"EMPTY",IF(B1585=0,"EMPTY",B1585*Setup!$B$22*Setup!$G$6*Setup!$D$11))</f>
        <v>EMPTY</v>
      </c>
      <c r="E1585" s="31">
        <f>IF(Setup!$H$2=0,-1,IF(A1585=0,-1,A1585*1/(Setup!$G$6)))</f>
        <v>-1</v>
      </c>
      <c r="F1585" s="31"/>
    </row>
    <row r="1586" spans="3:6" ht="15.75" x14ac:dyDescent="0.25">
      <c r="C1586" s="29" t="str">
        <f>IF(B1586=0,"EMPTY",Setup!$D$11*((PI()*2*Setup!$B$22*A1586*B1586)/33000))</f>
        <v>EMPTY</v>
      </c>
      <c r="D1586" s="30" t="str">
        <f>IF(Setup!$H$2=0,"EMPTY",IF(B1586=0,"EMPTY",B1586*Setup!$B$22*Setup!$G$6*Setup!$D$11))</f>
        <v>EMPTY</v>
      </c>
      <c r="E1586" s="31">
        <f>IF(Setup!$H$2=0,-1,IF(A1586=0,-1,A1586*1/(Setup!$G$6)))</f>
        <v>-1</v>
      </c>
      <c r="F1586" s="31"/>
    </row>
    <row r="1587" spans="3:6" ht="15.75" x14ac:dyDescent="0.25">
      <c r="C1587" s="29" t="str">
        <f>IF(B1587=0,"EMPTY",Setup!$D$11*((PI()*2*Setup!$B$22*A1587*B1587)/33000))</f>
        <v>EMPTY</v>
      </c>
      <c r="D1587" s="30" t="str">
        <f>IF(Setup!$H$2=0,"EMPTY",IF(B1587=0,"EMPTY",B1587*Setup!$B$22*Setup!$G$6*Setup!$D$11))</f>
        <v>EMPTY</v>
      </c>
      <c r="E1587" s="31">
        <f>IF(Setup!$H$2=0,-1,IF(A1587=0,-1,A1587*1/(Setup!$G$6)))</f>
        <v>-1</v>
      </c>
      <c r="F1587" s="31"/>
    </row>
    <row r="1588" spans="3:6" ht="15.75" x14ac:dyDescent="0.25">
      <c r="C1588" s="29" t="str">
        <f>IF(B1588=0,"EMPTY",Setup!$D$11*((PI()*2*Setup!$B$22*A1588*B1588)/33000))</f>
        <v>EMPTY</v>
      </c>
      <c r="D1588" s="30" t="str">
        <f>IF(Setup!$H$2=0,"EMPTY",IF(B1588=0,"EMPTY",B1588*Setup!$B$22*Setup!$G$6*Setup!$D$11))</f>
        <v>EMPTY</v>
      </c>
      <c r="E1588" s="31">
        <f>IF(Setup!$H$2=0,-1,IF(A1588=0,-1,A1588*1/(Setup!$G$6)))</f>
        <v>-1</v>
      </c>
      <c r="F1588" s="31"/>
    </row>
    <row r="1589" spans="3:6" ht="15.75" x14ac:dyDescent="0.25">
      <c r="C1589" s="29" t="str">
        <f>IF(B1589=0,"EMPTY",Setup!$D$11*((PI()*2*Setup!$B$22*A1589*B1589)/33000))</f>
        <v>EMPTY</v>
      </c>
      <c r="D1589" s="30" t="str">
        <f>IF(Setup!$H$2=0,"EMPTY",IF(B1589=0,"EMPTY",B1589*Setup!$B$22*Setup!$G$6*Setup!$D$11))</f>
        <v>EMPTY</v>
      </c>
      <c r="E1589" s="31">
        <f>IF(Setup!$H$2=0,-1,IF(A1589=0,-1,A1589*1/(Setup!$G$6)))</f>
        <v>-1</v>
      </c>
      <c r="F1589" s="31"/>
    </row>
    <row r="1590" spans="3:6" ht="15.75" x14ac:dyDescent="0.25">
      <c r="C1590" s="29" t="str">
        <f>IF(B1590=0,"EMPTY",Setup!$D$11*((PI()*2*Setup!$B$22*A1590*B1590)/33000))</f>
        <v>EMPTY</v>
      </c>
      <c r="D1590" s="30" t="str">
        <f>IF(Setup!$H$2=0,"EMPTY",IF(B1590=0,"EMPTY",B1590*Setup!$B$22*Setup!$G$6*Setup!$D$11))</f>
        <v>EMPTY</v>
      </c>
      <c r="E1590" s="31">
        <f>IF(Setup!$H$2=0,-1,IF(A1590=0,-1,A1590*1/(Setup!$G$6)))</f>
        <v>-1</v>
      </c>
      <c r="F1590" s="31"/>
    </row>
    <row r="1591" spans="3:6" ht="15.75" x14ac:dyDescent="0.25">
      <c r="C1591" s="29" t="str">
        <f>IF(B1591=0,"EMPTY",Setup!$D$11*((PI()*2*Setup!$B$22*A1591*B1591)/33000))</f>
        <v>EMPTY</v>
      </c>
      <c r="D1591" s="30" t="str">
        <f>IF(Setup!$H$2=0,"EMPTY",IF(B1591=0,"EMPTY",B1591*Setup!$B$22*Setup!$G$6*Setup!$D$11))</f>
        <v>EMPTY</v>
      </c>
      <c r="E1591" s="31">
        <f>IF(Setup!$H$2=0,-1,IF(A1591=0,-1,A1591*1/(Setup!$G$6)))</f>
        <v>-1</v>
      </c>
      <c r="F1591" s="31"/>
    </row>
    <row r="1592" spans="3:6" ht="15.75" x14ac:dyDescent="0.25">
      <c r="C1592" s="29" t="str">
        <f>IF(B1592=0,"EMPTY",Setup!$D$11*((PI()*2*Setup!$B$22*A1592*B1592)/33000))</f>
        <v>EMPTY</v>
      </c>
      <c r="D1592" s="30" t="str">
        <f>IF(Setup!$H$2=0,"EMPTY",IF(B1592=0,"EMPTY",B1592*Setup!$B$22*Setup!$G$6*Setup!$D$11))</f>
        <v>EMPTY</v>
      </c>
      <c r="E1592" s="31">
        <f>IF(Setup!$H$2=0,-1,IF(A1592=0,-1,A1592*1/(Setup!$G$6)))</f>
        <v>-1</v>
      </c>
      <c r="F1592" s="31"/>
    </row>
    <row r="1593" spans="3:6" ht="15.75" x14ac:dyDescent="0.25">
      <c r="C1593" s="29" t="str">
        <f>IF(B1593=0,"EMPTY",Setup!$D$11*((PI()*2*Setup!$B$22*A1593*B1593)/33000))</f>
        <v>EMPTY</v>
      </c>
      <c r="D1593" s="30" t="str">
        <f>IF(Setup!$H$2=0,"EMPTY",IF(B1593=0,"EMPTY",B1593*Setup!$B$22*Setup!$G$6*Setup!$D$11))</f>
        <v>EMPTY</v>
      </c>
      <c r="E1593" s="31">
        <f>IF(Setup!$H$2=0,-1,IF(A1593=0,-1,A1593*1/(Setup!$G$6)))</f>
        <v>-1</v>
      </c>
      <c r="F1593" s="31"/>
    </row>
    <row r="1594" spans="3:6" ht="15.75" x14ac:dyDescent="0.25">
      <c r="C1594" s="29" t="str">
        <f>IF(B1594=0,"EMPTY",Setup!$D$11*((PI()*2*Setup!$B$22*A1594*B1594)/33000))</f>
        <v>EMPTY</v>
      </c>
      <c r="D1594" s="30" t="str">
        <f>IF(Setup!$H$2=0,"EMPTY",IF(B1594=0,"EMPTY",B1594*Setup!$B$22*Setup!$G$6*Setup!$D$11))</f>
        <v>EMPTY</v>
      </c>
      <c r="E1594" s="31">
        <f>IF(Setup!$H$2=0,-1,IF(A1594=0,-1,A1594*1/(Setup!$G$6)))</f>
        <v>-1</v>
      </c>
      <c r="F1594" s="31"/>
    </row>
    <row r="1595" spans="3:6" ht="15.75" x14ac:dyDescent="0.25">
      <c r="C1595" s="29" t="str">
        <f>IF(B1595=0,"EMPTY",Setup!$D$11*((PI()*2*Setup!$B$22*A1595*B1595)/33000))</f>
        <v>EMPTY</v>
      </c>
      <c r="D1595" s="30" t="str">
        <f>IF(Setup!$H$2=0,"EMPTY",IF(B1595=0,"EMPTY",B1595*Setup!$B$22*Setup!$G$6*Setup!$D$11))</f>
        <v>EMPTY</v>
      </c>
      <c r="E1595" s="31">
        <f>IF(Setup!$H$2=0,-1,IF(A1595=0,-1,A1595*1/(Setup!$G$6)))</f>
        <v>-1</v>
      </c>
      <c r="F1595" s="31"/>
    </row>
    <row r="1596" spans="3:6" ht="15.75" x14ac:dyDescent="0.25">
      <c r="C1596" s="29" t="str">
        <f>IF(B1596=0,"EMPTY",Setup!$D$11*((PI()*2*Setup!$B$22*A1596*B1596)/33000))</f>
        <v>EMPTY</v>
      </c>
      <c r="D1596" s="30" t="str">
        <f>IF(Setup!$H$2=0,"EMPTY",IF(B1596=0,"EMPTY",B1596*Setup!$B$22*Setup!$G$6*Setup!$D$11))</f>
        <v>EMPTY</v>
      </c>
      <c r="E1596" s="31">
        <f>IF(Setup!$H$2=0,-1,IF(A1596=0,-1,A1596*1/(Setup!$G$6)))</f>
        <v>-1</v>
      </c>
      <c r="F1596" s="31"/>
    </row>
    <row r="1597" spans="3:6" ht="15.75" x14ac:dyDescent="0.25">
      <c r="C1597" s="29" t="str">
        <f>IF(B1597=0,"EMPTY",Setup!$D$11*((PI()*2*Setup!$B$22*A1597*B1597)/33000))</f>
        <v>EMPTY</v>
      </c>
      <c r="D1597" s="30" t="str">
        <f>IF(Setup!$H$2=0,"EMPTY",IF(B1597=0,"EMPTY",B1597*Setup!$B$22*Setup!$G$6*Setup!$D$11))</f>
        <v>EMPTY</v>
      </c>
      <c r="E1597" s="31">
        <f>IF(Setup!$H$2=0,-1,IF(A1597=0,-1,A1597*1/(Setup!$G$6)))</f>
        <v>-1</v>
      </c>
      <c r="F1597" s="31"/>
    </row>
    <row r="1598" spans="3:6" ht="15.75" x14ac:dyDescent="0.25">
      <c r="C1598" s="29" t="str">
        <f>IF(B1598=0,"EMPTY",Setup!$D$11*((PI()*2*Setup!$B$22*A1598*B1598)/33000))</f>
        <v>EMPTY</v>
      </c>
      <c r="D1598" s="30" t="str">
        <f>IF(Setup!$H$2=0,"EMPTY",IF(B1598=0,"EMPTY",B1598*Setup!$B$22*Setup!$G$6*Setup!$D$11))</f>
        <v>EMPTY</v>
      </c>
      <c r="E1598" s="31">
        <f>IF(Setup!$H$2=0,-1,IF(A1598=0,-1,A1598*1/(Setup!$G$6)))</f>
        <v>-1</v>
      </c>
      <c r="F1598" s="31"/>
    </row>
    <row r="1599" spans="3:6" ht="15.75" x14ac:dyDescent="0.25">
      <c r="C1599" s="29" t="str">
        <f>IF(B1599=0,"EMPTY",Setup!$D$11*((PI()*2*Setup!$B$22*A1599*B1599)/33000))</f>
        <v>EMPTY</v>
      </c>
      <c r="D1599" s="30" t="str">
        <f>IF(Setup!$H$2=0,"EMPTY",IF(B1599=0,"EMPTY",B1599*Setup!$B$22*Setup!$G$6*Setup!$D$11))</f>
        <v>EMPTY</v>
      </c>
      <c r="E1599" s="31">
        <f>IF(Setup!$H$2=0,-1,IF(A1599=0,-1,A1599*1/(Setup!$G$6)))</f>
        <v>-1</v>
      </c>
      <c r="F1599" s="31"/>
    </row>
    <row r="1600" spans="3:6" ht="15.75" x14ac:dyDescent="0.25">
      <c r="C1600" s="29" t="str">
        <f>IF(B1600=0,"EMPTY",Setup!$D$11*((PI()*2*Setup!$B$22*A1600*B1600)/33000))</f>
        <v>EMPTY</v>
      </c>
      <c r="D1600" s="30" t="str">
        <f>IF(Setup!$H$2=0,"EMPTY",IF(B1600=0,"EMPTY",B1600*Setup!$B$22*Setup!$G$6*Setup!$D$11))</f>
        <v>EMPTY</v>
      </c>
      <c r="E1600" s="31">
        <f>IF(Setup!$H$2=0,-1,IF(A1600=0,-1,A1600*1/(Setup!$G$6)))</f>
        <v>-1</v>
      </c>
      <c r="F1600" s="31"/>
    </row>
    <row r="1601" spans="3:6" ht="15.75" x14ac:dyDescent="0.25">
      <c r="C1601" s="29" t="str">
        <f>IF(B1601=0,"EMPTY",Setup!$D$11*((PI()*2*Setup!$B$22*A1601*B1601)/33000))</f>
        <v>EMPTY</v>
      </c>
      <c r="D1601" s="30" t="str">
        <f>IF(Setup!$H$2=0,"EMPTY",IF(B1601=0,"EMPTY",B1601*Setup!$B$22*Setup!$G$6*Setup!$D$11))</f>
        <v>EMPTY</v>
      </c>
      <c r="E1601" s="31">
        <f>IF(Setup!$H$2=0,-1,IF(A1601=0,-1,A1601*1/(Setup!$G$6)))</f>
        <v>-1</v>
      </c>
      <c r="F1601" s="31"/>
    </row>
    <row r="1602" spans="3:6" ht="15.75" x14ac:dyDescent="0.25">
      <c r="C1602" s="29" t="str">
        <f>IF(B1602=0,"EMPTY",Setup!$D$11*((PI()*2*Setup!$B$22*A1602*B1602)/33000))</f>
        <v>EMPTY</v>
      </c>
      <c r="D1602" s="30" t="str">
        <f>IF(Setup!$H$2=0,"EMPTY",IF(B1602=0,"EMPTY",B1602*Setup!$B$22*Setup!$G$6*Setup!$D$11))</f>
        <v>EMPTY</v>
      </c>
      <c r="E1602" s="31">
        <f>IF(Setup!$H$2=0,-1,IF(A1602=0,-1,A1602*1/(Setup!$G$6)))</f>
        <v>-1</v>
      </c>
      <c r="F1602" s="31"/>
    </row>
    <row r="1603" spans="3:6" ht="15.75" x14ac:dyDescent="0.25">
      <c r="C1603" s="29" t="str">
        <f>IF(B1603=0,"EMPTY",Setup!$D$11*((PI()*2*Setup!$B$22*A1603*B1603)/33000))</f>
        <v>EMPTY</v>
      </c>
      <c r="D1603" s="30" t="str">
        <f>IF(Setup!$H$2=0,"EMPTY",IF(B1603=0,"EMPTY",B1603*Setup!$B$22*Setup!$G$6*Setup!$D$11))</f>
        <v>EMPTY</v>
      </c>
      <c r="E1603" s="31">
        <f>IF(Setup!$H$2=0,-1,IF(A1603=0,-1,A1603*1/(Setup!$G$6)))</f>
        <v>-1</v>
      </c>
      <c r="F1603" s="31"/>
    </row>
    <row r="1604" spans="3:6" ht="15.75" x14ac:dyDescent="0.25">
      <c r="C1604" s="29" t="str">
        <f>IF(B1604=0,"EMPTY",Setup!$D$11*((PI()*2*Setup!$B$22*A1604*B1604)/33000))</f>
        <v>EMPTY</v>
      </c>
      <c r="D1604" s="30" t="str">
        <f>IF(Setup!$H$2=0,"EMPTY",IF(B1604=0,"EMPTY",B1604*Setup!$B$22*Setup!$G$6*Setup!$D$11))</f>
        <v>EMPTY</v>
      </c>
      <c r="E1604" s="31">
        <f>IF(Setup!$H$2=0,-1,IF(A1604=0,-1,A1604*1/(Setup!$G$6)))</f>
        <v>-1</v>
      </c>
      <c r="F1604" s="31"/>
    </row>
    <row r="1605" spans="3:6" ht="15.75" x14ac:dyDescent="0.25">
      <c r="C1605" s="29" t="str">
        <f>IF(B1605=0,"EMPTY",Setup!$D$11*((PI()*2*Setup!$B$22*A1605*B1605)/33000))</f>
        <v>EMPTY</v>
      </c>
      <c r="D1605" s="30" t="str">
        <f>IF(Setup!$H$2=0,"EMPTY",IF(B1605=0,"EMPTY",B1605*Setup!$B$22*Setup!$G$6*Setup!$D$11))</f>
        <v>EMPTY</v>
      </c>
      <c r="E1605" s="31">
        <f>IF(Setup!$H$2=0,-1,IF(A1605=0,-1,A1605*1/(Setup!$G$6)))</f>
        <v>-1</v>
      </c>
      <c r="F1605" s="31"/>
    </row>
    <row r="1606" spans="3:6" ht="15.75" x14ac:dyDescent="0.25">
      <c r="C1606" s="29" t="str">
        <f>IF(B1606=0,"EMPTY",Setup!$D$11*((PI()*2*Setup!$B$22*A1606*B1606)/33000))</f>
        <v>EMPTY</v>
      </c>
      <c r="D1606" s="30" t="str">
        <f>IF(Setup!$H$2=0,"EMPTY",IF(B1606=0,"EMPTY",B1606*Setup!$B$22*Setup!$G$6*Setup!$D$11))</f>
        <v>EMPTY</v>
      </c>
      <c r="E1606" s="31">
        <f>IF(Setup!$H$2=0,-1,IF(A1606=0,-1,A1606*1/(Setup!$G$6)))</f>
        <v>-1</v>
      </c>
      <c r="F1606" s="31"/>
    </row>
    <row r="1607" spans="3:6" ht="15.75" x14ac:dyDescent="0.25">
      <c r="C1607" s="29" t="str">
        <f>IF(B1607=0,"EMPTY",Setup!$D$11*((PI()*2*Setup!$B$22*A1607*B1607)/33000))</f>
        <v>EMPTY</v>
      </c>
      <c r="D1607" s="30" t="str">
        <f>IF(Setup!$H$2=0,"EMPTY",IF(B1607=0,"EMPTY",B1607*Setup!$B$22*Setup!$G$6*Setup!$D$11))</f>
        <v>EMPTY</v>
      </c>
      <c r="E1607" s="31">
        <f>IF(Setup!$H$2=0,-1,IF(A1607=0,-1,A1607*1/(Setup!$G$6)))</f>
        <v>-1</v>
      </c>
      <c r="F1607" s="31"/>
    </row>
    <row r="1608" spans="3:6" ht="15.75" x14ac:dyDescent="0.25">
      <c r="C1608" s="29" t="str">
        <f>IF(B1608=0,"EMPTY",Setup!$D$11*((PI()*2*Setup!$B$22*A1608*B1608)/33000))</f>
        <v>EMPTY</v>
      </c>
      <c r="D1608" s="30" t="str">
        <f>IF(Setup!$H$2=0,"EMPTY",IF(B1608=0,"EMPTY",B1608*Setup!$B$22*Setup!$G$6*Setup!$D$11))</f>
        <v>EMPTY</v>
      </c>
      <c r="E1608" s="31">
        <f>IF(Setup!$H$2=0,-1,IF(A1608=0,-1,A1608*1/(Setup!$G$6)))</f>
        <v>-1</v>
      </c>
      <c r="F1608" s="31"/>
    </row>
    <row r="1609" spans="3:6" ht="15.75" x14ac:dyDescent="0.25">
      <c r="C1609" s="29" t="str">
        <f>IF(B1609=0,"EMPTY",Setup!$D$11*((PI()*2*Setup!$B$22*A1609*B1609)/33000))</f>
        <v>EMPTY</v>
      </c>
      <c r="D1609" s="30" t="str">
        <f>IF(Setup!$H$2=0,"EMPTY",IF(B1609=0,"EMPTY",B1609*Setup!$B$22*Setup!$G$6*Setup!$D$11))</f>
        <v>EMPTY</v>
      </c>
      <c r="E1609" s="31">
        <f>IF(Setup!$H$2=0,-1,IF(A1609=0,-1,A1609*1/(Setup!$G$6)))</f>
        <v>-1</v>
      </c>
      <c r="F1609" s="31"/>
    </row>
    <row r="1610" spans="3:6" ht="15.75" x14ac:dyDescent="0.25">
      <c r="C1610" s="29" t="str">
        <f>IF(B1610=0,"EMPTY",Setup!$D$11*((PI()*2*Setup!$B$22*A1610*B1610)/33000))</f>
        <v>EMPTY</v>
      </c>
      <c r="D1610" s="30" t="str">
        <f>IF(Setup!$H$2=0,"EMPTY",IF(B1610=0,"EMPTY",B1610*Setup!$B$22*Setup!$G$6*Setup!$D$11))</f>
        <v>EMPTY</v>
      </c>
      <c r="E1610" s="31">
        <f>IF(Setup!$H$2=0,-1,IF(A1610=0,-1,A1610*1/(Setup!$G$6)))</f>
        <v>-1</v>
      </c>
      <c r="F1610" s="31"/>
    </row>
    <row r="1611" spans="3:6" ht="15.75" x14ac:dyDescent="0.25">
      <c r="C1611" s="29" t="str">
        <f>IF(B1611=0,"EMPTY",Setup!$D$11*((PI()*2*Setup!$B$22*A1611*B1611)/33000))</f>
        <v>EMPTY</v>
      </c>
      <c r="D1611" s="30" t="str">
        <f>IF(Setup!$H$2=0,"EMPTY",IF(B1611=0,"EMPTY",B1611*Setup!$B$22*Setup!$G$6*Setup!$D$11))</f>
        <v>EMPTY</v>
      </c>
      <c r="E1611" s="31">
        <f>IF(Setup!$H$2=0,-1,IF(A1611=0,-1,A1611*1/(Setup!$G$6)))</f>
        <v>-1</v>
      </c>
      <c r="F1611" s="31"/>
    </row>
    <row r="1612" spans="3:6" ht="15.75" x14ac:dyDescent="0.25">
      <c r="C1612" s="29" t="str">
        <f>IF(B1612=0,"EMPTY",Setup!$D$11*((PI()*2*Setup!$B$22*A1612*B1612)/33000))</f>
        <v>EMPTY</v>
      </c>
      <c r="D1612" s="30" t="str">
        <f>IF(Setup!$H$2=0,"EMPTY",IF(B1612=0,"EMPTY",B1612*Setup!$B$22*Setup!$G$6*Setup!$D$11))</f>
        <v>EMPTY</v>
      </c>
      <c r="E1612" s="31">
        <f>IF(Setup!$H$2=0,-1,IF(A1612=0,-1,A1612*1/(Setup!$G$6)))</f>
        <v>-1</v>
      </c>
      <c r="F1612" s="31"/>
    </row>
    <row r="1613" spans="3:6" ht="15.75" x14ac:dyDescent="0.25">
      <c r="C1613" s="29" t="str">
        <f>IF(B1613=0,"EMPTY",Setup!$D$11*((PI()*2*Setup!$B$22*A1613*B1613)/33000))</f>
        <v>EMPTY</v>
      </c>
      <c r="D1613" s="30" t="str">
        <f>IF(Setup!$H$2=0,"EMPTY",IF(B1613=0,"EMPTY",B1613*Setup!$B$22*Setup!$G$6*Setup!$D$11))</f>
        <v>EMPTY</v>
      </c>
      <c r="E1613" s="31">
        <f>IF(Setup!$H$2=0,-1,IF(A1613=0,-1,A1613*1/(Setup!$G$6)))</f>
        <v>-1</v>
      </c>
      <c r="F1613" s="31"/>
    </row>
    <row r="1614" spans="3:6" ht="15.75" x14ac:dyDescent="0.25">
      <c r="C1614" s="29" t="str">
        <f>IF(B1614=0,"EMPTY",Setup!$D$11*((PI()*2*Setup!$B$22*A1614*B1614)/33000))</f>
        <v>EMPTY</v>
      </c>
      <c r="D1614" s="30" t="str">
        <f>IF(Setup!$H$2=0,"EMPTY",IF(B1614=0,"EMPTY",B1614*Setup!$B$22*Setup!$G$6*Setup!$D$11))</f>
        <v>EMPTY</v>
      </c>
      <c r="E1614" s="31">
        <f>IF(Setup!$H$2=0,-1,IF(A1614=0,-1,A1614*1/(Setup!$G$6)))</f>
        <v>-1</v>
      </c>
      <c r="F1614" s="31"/>
    </row>
    <row r="1615" spans="3:6" ht="15.75" x14ac:dyDescent="0.25">
      <c r="C1615" s="29" t="str">
        <f>IF(B1615=0,"EMPTY",Setup!$D$11*((PI()*2*Setup!$B$22*A1615*B1615)/33000))</f>
        <v>EMPTY</v>
      </c>
      <c r="D1615" s="30" t="str">
        <f>IF(Setup!$H$2=0,"EMPTY",IF(B1615=0,"EMPTY",B1615*Setup!$B$22*Setup!$G$6*Setup!$D$11))</f>
        <v>EMPTY</v>
      </c>
      <c r="E1615" s="31">
        <f>IF(Setup!$H$2=0,-1,IF(A1615=0,-1,A1615*1/(Setup!$G$6)))</f>
        <v>-1</v>
      </c>
      <c r="F1615" s="31"/>
    </row>
    <row r="1616" spans="3:6" ht="15.75" x14ac:dyDescent="0.25">
      <c r="C1616" s="29" t="str">
        <f>IF(B1616=0,"EMPTY",Setup!$D$11*((PI()*2*Setup!$B$22*A1616*B1616)/33000))</f>
        <v>EMPTY</v>
      </c>
      <c r="D1616" s="30" t="str">
        <f>IF(Setup!$H$2=0,"EMPTY",IF(B1616=0,"EMPTY",B1616*Setup!$B$22*Setup!$G$6*Setup!$D$11))</f>
        <v>EMPTY</v>
      </c>
      <c r="E1616" s="31">
        <f>IF(Setup!$H$2=0,-1,IF(A1616=0,-1,A1616*1/(Setup!$G$6)))</f>
        <v>-1</v>
      </c>
      <c r="F1616" s="31"/>
    </row>
    <row r="1617" spans="3:6" ht="15.75" x14ac:dyDescent="0.25">
      <c r="C1617" s="29" t="str">
        <f>IF(B1617=0,"EMPTY",Setup!$D$11*((PI()*2*Setup!$B$22*A1617*B1617)/33000))</f>
        <v>EMPTY</v>
      </c>
      <c r="D1617" s="30" t="str">
        <f>IF(Setup!$H$2=0,"EMPTY",IF(B1617=0,"EMPTY",B1617*Setup!$B$22*Setup!$G$6*Setup!$D$11))</f>
        <v>EMPTY</v>
      </c>
      <c r="E1617" s="31">
        <f>IF(Setup!$H$2=0,-1,IF(A1617=0,-1,A1617*1/(Setup!$G$6)))</f>
        <v>-1</v>
      </c>
      <c r="F1617" s="31"/>
    </row>
    <row r="1618" spans="3:6" ht="15.75" x14ac:dyDescent="0.25">
      <c r="C1618" s="29" t="str">
        <f>IF(B1618=0,"EMPTY",Setup!$D$11*((PI()*2*Setup!$B$22*A1618*B1618)/33000))</f>
        <v>EMPTY</v>
      </c>
      <c r="D1618" s="30" t="str">
        <f>IF(Setup!$H$2=0,"EMPTY",IF(B1618=0,"EMPTY",B1618*Setup!$B$22*Setup!$G$6*Setup!$D$11))</f>
        <v>EMPTY</v>
      </c>
      <c r="E1618" s="31">
        <f>IF(Setup!$H$2=0,-1,IF(A1618=0,-1,A1618*1/(Setup!$G$6)))</f>
        <v>-1</v>
      </c>
      <c r="F1618" s="31"/>
    </row>
    <row r="1619" spans="3:6" ht="15.75" x14ac:dyDescent="0.25">
      <c r="C1619" s="29" t="str">
        <f>IF(B1619=0,"EMPTY",Setup!$D$11*((PI()*2*Setup!$B$22*A1619*B1619)/33000))</f>
        <v>EMPTY</v>
      </c>
      <c r="D1619" s="30" t="str">
        <f>IF(Setup!$H$2=0,"EMPTY",IF(B1619=0,"EMPTY",B1619*Setup!$B$22*Setup!$G$6*Setup!$D$11))</f>
        <v>EMPTY</v>
      </c>
      <c r="E1619" s="31">
        <f>IF(Setup!$H$2=0,-1,IF(A1619=0,-1,A1619*1/(Setup!$G$6)))</f>
        <v>-1</v>
      </c>
      <c r="F1619" s="31"/>
    </row>
    <row r="1620" spans="3:6" ht="15.75" x14ac:dyDescent="0.25">
      <c r="C1620" s="29" t="str">
        <f>IF(B1620=0,"EMPTY",Setup!$D$11*((PI()*2*Setup!$B$22*A1620*B1620)/33000))</f>
        <v>EMPTY</v>
      </c>
      <c r="D1620" s="30" t="str">
        <f>IF(Setup!$H$2=0,"EMPTY",IF(B1620=0,"EMPTY",B1620*Setup!$B$22*Setup!$G$6*Setup!$D$11))</f>
        <v>EMPTY</v>
      </c>
      <c r="E1620" s="31">
        <f>IF(Setup!$H$2=0,-1,IF(A1620=0,-1,A1620*1/(Setup!$G$6)))</f>
        <v>-1</v>
      </c>
      <c r="F1620" s="31"/>
    </row>
    <row r="1621" spans="3:6" ht="15.75" x14ac:dyDescent="0.25">
      <c r="C1621" s="29" t="str">
        <f>IF(B1621=0,"EMPTY",Setup!$D$11*((PI()*2*Setup!$B$22*A1621*B1621)/33000))</f>
        <v>EMPTY</v>
      </c>
      <c r="D1621" s="30" t="str">
        <f>IF(Setup!$H$2=0,"EMPTY",IF(B1621=0,"EMPTY",B1621*Setup!$B$22*Setup!$G$6*Setup!$D$11))</f>
        <v>EMPTY</v>
      </c>
      <c r="E1621" s="31">
        <f>IF(Setup!$H$2=0,-1,IF(A1621=0,-1,A1621*1/(Setup!$G$6)))</f>
        <v>-1</v>
      </c>
      <c r="F1621" s="31"/>
    </row>
    <row r="1622" spans="3:6" ht="15.75" x14ac:dyDescent="0.25">
      <c r="C1622" s="29" t="str">
        <f>IF(B1622=0,"EMPTY",Setup!$D$11*((PI()*2*Setup!$B$22*A1622*B1622)/33000))</f>
        <v>EMPTY</v>
      </c>
      <c r="D1622" s="30" t="str">
        <f>IF(Setup!$H$2=0,"EMPTY",IF(B1622=0,"EMPTY",B1622*Setup!$B$22*Setup!$G$6*Setup!$D$11))</f>
        <v>EMPTY</v>
      </c>
      <c r="E1622" s="31">
        <f>IF(Setup!$H$2=0,-1,IF(A1622=0,-1,A1622*1/(Setup!$G$6)))</f>
        <v>-1</v>
      </c>
      <c r="F1622" s="31"/>
    </row>
    <row r="1623" spans="3:6" ht="15.75" x14ac:dyDescent="0.25">
      <c r="C1623" s="29" t="str">
        <f>IF(B1623=0,"EMPTY",Setup!$D$11*((PI()*2*Setup!$B$22*A1623*B1623)/33000))</f>
        <v>EMPTY</v>
      </c>
      <c r="D1623" s="30" t="str">
        <f>IF(Setup!$H$2=0,"EMPTY",IF(B1623=0,"EMPTY",B1623*Setup!$B$22*Setup!$G$6*Setup!$D$11))</f>
        <v>EMPTY</v>
      </c>
      <c r="E1623" s="31">
        <f>IF(Setup!$H$2=0,-1,IF(A1623=0,-1,A1623*1/(Setup!$G$6)))</f>
        <v>-1</v>
      </c>
      <c r="F1623" s="31"/>
    </row>
    <row r="1624" spans="3:6" ht="15.75" x14ac:dyDescent="0.25">
      <c r="C1624" s="29" t="str">
        <f>IF(B1624=0,"EMPTY",Setup!$D$11*((PI()*2*Setup!$B$22*A1624*B1624)/33000))</f>
        <v>EMPTY</v>
      </c>
      <c r="D1624" s="30" t="str">
        <f>IF(Setup!$H$2=0,"EMPTY",IF(B1624=0,"EMPTY",B1624*Setup!$B$22*Setup!$G$6*Setup!$D$11))</f>
        <v>EMPTY</v>
      </c>
      <c r="E1624" s="31">
        <f>IF(Setup!$H$2=0,-1,IF(A1624=0,-1,A1624*1/(Setup!$G$6)))</f>
        <v>-1</v>
      </c>
      <c r="F1624" s="31"/>
    </row>
    <row r="1625" spans="3:6" ht="15.75" x14ac:dyDescent="0.25">
      <c r="C1625" s="29" t="str">
        <f>IF(B1625=0,"EMPTY",Setup!$D$11*((PI()*2*Setup!$B$22*A1625*B1625)/33000))</f>
        <v>EMPTY</v>
      </c>
      <c r="D1625" s="30" t="str">
        <f>IF(Setup!$H$2=0,"EMPTY",IF(B1625=0,"EMPTY",B1625*Setup!$B$22*Setup!$G$6*Setup!$D$11))</f>
        <v>EMPTY</v>
      </c>
      <c r="E1625" s="31">
        <f>IF(Setup!$H$2=0,-1,IF(A1625=0,-1,A1625*1/(Setup!$G$6)))</f>
        <v>-1</v>
      </c>
      <c r="F1625" s="31"/>
    </row>
    <row r="1626" spans="3:6" ht="15.75" x14ac:dyDescent="0.25">
      <c r="C1626" s="29" t="str">
        <f>IF(B1626=0,"EMPTY",Setup!$D$11*((PI()*2*Setup!$B$22*A1626*B1626)/33000))</f>
        <v>EMPTY</v>
      </c>
      <c r="D1626" s="30" t="str">
        <f>IF(Setup!$H$2=0,"EMPTY",IF(B1626=0,"EMPTY",B1626*Setup!$B$22*Setup!$G$6*Setup!$D$11))</f>
        <v>EMPTY</v>
      </c>
      <c r="E1626" s="31">
        <f>IF(Setup!$H$2=0,-1,IF(A1626=0,-1,A1626*1/(Setup!$G$6)))</f>
        <v>-1</v>
      </c>
      <c r="F1626" s="31"/>
    </row>
    <row r="1627" spans="3:6" ht="15.75" x14ac:dyDescent="0.25">
      <c r="C1627" s="29" t="str">
        <f>IF(B1627=0,"EMPTY",Setup!$D$11*((PI()*2*Setup!$B$22*A1627*B1627)/33000))</f>
        <v>EMPTY</v>
      </c>
      <c r="D1627" s="30" t="str">
        <f>IF(Setup!$H$2=0,"EMPTY",IF(B1627=0,"EMPTY",B1627*Setup!$B$22*Setup!$G$6*Setup!$D$11))</f>
        <v>EMPTY</v>
      </c>
      <c r="E1627" s="31">
        <f>IF(Setup!$H$2=0,-1,IF(A1627=0,-1,A1627*1/(Setup!$G$6)))</f>
        <v>-1</v>
      </c>
      <c r="F1627" s="31"/>
    </row>
    <row r="1628" spans="3:6" ht="15.75" x14ac:dyDescent="0.25">
      <c r="C1628" s="29" t="str">
        <f>IF(B1628=0,"EMPTY",Setup!$D$11*((PI()*2*Setup!$B$22*A1628*B1628)/33000))</f>
        <v>EMPTY</v>
      </c>
      <c r="D1628" s="30" t="str">
        <f>IF(Setup!$H$2=0,"EMPTY",IF(B1628=0,"EMPTY",B1628*Setup!$B$22*Setup!$G$6*Setup!$D$11))</f>
        <v>EMPTY</v>
      </c>
      <c r="E1628" s="31">
        <f>IF(Setup!$H$2=0,-1,IF(A1628=0,-1,A1628*1/(Setup!$G$6)))</f>
        <v>-1</v>
      </c>
      <c r="F1628" s="31"/>
    </row>
    <row r="1629" spans="3:6" ht="15.75" x14ac:dyDescent="0.25">
      <c r="C1629" s="29" t="str">
        <f>IF(B1629=0,"EMPTY",Setup!$D$11*((PI()*2*Setup!$B$22*A1629*B1629)/33000))</f>
        <v>EMPTY</v>
      </c>
      <c r="D1629" s="30" t="str">
        <f>IF(Setup!$H$2=0,"EMPTY",IF(B1629=0,"EMPTY",B1629*Setup!$B$22*Setup!$G$6*Setup!$D$11))</f>
        <v>EMPTY</v>
      </c>
      <c r="E1629" s="31">
        <f>IF(Setup!$H$2=0,-1,IF(A1629=0,-1,A1629*1/(Setup!$G$6)))</f>
        <v>-1</v>
      </c>
      <c r="F1629" s="31"/>
    </row>
    <row r="1630" spans="3:6" ht="15.75" x14ac:dyDescent="0.25">
      <c r="C1630" s="29" t="str">
        <f>IF(B1630=0,"EMPTY",Setup!$D$11*((PI()*2*Setup!$B$22*A1630*B1630)/33000))</f>
        <v>EMPTY</v>
      </c>
      <c r="D1630" s="30" t="str">
        <f>IF(Setup!$H$2=0,"EMPTY",IF(B1630=0,"EMPTY",B1630*Setup!$B$22*Setup!$G$6*Setup!$D$11))</f>
        <v>EMPTY</v>
      </c>
      <c r="E1630" s="31">
        <f>IF(Setup!$H$2=0,-1,IF(A1630=0,-1,A1630*1/(Setup!$G$6)))</f>
        <v>-1</v>
      </c>
      <c r="F1630" s="31"/>
    </row>
    <row r="1631" spans="3:6" ht="15.75" x14ac:dyDescent="0.25">
      <c r="C1631" s="29" t="str">
        <f>IF(B1631=0,"EMPTY",Setup!$D$11*((PI()*2*Setup!$B$22*A1631*B1631)/33000))</f>
        <v>EMPTY</v>
      </c>
      <c r="D1631" s="30" t="str">
        <f>IF(Setup!$H$2=0,"EMPTY",IF(B1631=0,"EMPTY",B1631*Setup!$B$22*Setup!$G$6*Setup!$D$11))</f>
        <v>EMPTY</v>
      </c>
      <c r="E1631" s="31">
        <f>IF(Setup!$H$2=0,-1,IF(A1631=0,-1,A1631*1/(Setup!$G$6)))</f>
        <v>-1</v>
      </c>
      <c r="F1631" s="31"/>
    </row>
    <row r="1632" spans="3:6" ht="15.75" x14ac:dyDescent="0.25">
      <c r="C1632" s="29" t="str">
        <f>IF(B1632=0,"EMPTY",Setup!$D$11*((PI()*2*Setup!$B$22*A1632*B1632)/33000))</f>
        <v>EMPTY</v>
      </c>
      <c r="D1632" s="30" t="str">
        <f>IF(Setup!$H$2=0,"EMPTY",IF(B1632=0,"EMPTY",B1632*Setup!$B$22*Setup!$G$6*Setup!$D$11))</f>
        <v>EMPTY</v>
      </c>
      <c r="E1632" s="31">
        <f>IF(Setup!$H$2=0,-1,IF(A1632=0,-1,A1632*1/(Setup!$G$6)))</f>
        <v>-1</v>
      </c>
      <c r="F1632" s="31"/>
    </row>
    <row r="1633" spans="3:6" ht="15.75" x14ac:dyDescent="0.25">
      <c r="C1633" s="29" t="str">
        <f>IF(B1633=0,"EMPTY",Setup!$D$11*((PI()*2*Setup!$B$22*A1633*B1633)/33000))</f>
        <v>EMPTY</v>
      </c>
      <c r="D1633" s="30" t="str">
        <f>IF(Setup!$H$2=0,"EMPTY",IF(B1633=0,"EMPTY",B1633*Setup!$B$22*Setup!$G$6*Setup!$D$11))</f>
        <v>EMPTY</v>
      </c>
      <c r="E1633" s="31">
        <f>IF(Setup!$H$2=0,-1,IF(A1633=0,-1,A1633*1/(Setup!$G$6)))</f>
        <v>-1</v>
      </c>
      <c r="F1633" s="31"/>
    </row>
    <row r="1634" spans="3:6" ht="15.75" x14ac:dyDescent="0.25">
      <c r="C1634" s="29" t="str">
        <f>IF(B1634=0,"EMPTY",Setup!$D$11*((PI()*2*Setup!$B$22*A1634*B1634)/33000))</f>
        <v>EMPTY</v>
      </c>
      <c r="D1634" s="30" t="str">
        <f>IF(Setup!$H$2=0,"EMPTY",IF(B1634=0,"EMPTY",B1634*Setup!$B$22*Setup!$G$6*Setup!$D$11))</f>
        <v>EMPTY</v>
      </c>
      <c r="E1634" s="31">
        <f>IF(Setup!$H$2=0,-1,IF(A1634=0,-1,A1634*1/(Setup!$G$6)))</f>
        <v>-1</v>
      </c>
      <c r="F1634" s="31"/>
    </row>
    <row r="1635" spans="3:6" ht="15.75" x14ac:dyDescent="0.25">
      <c r="C1635" s="29" t="str">
        <f>IF(B1635=0,"EMPTY",Setup!$D$11*((PI()*2*Setup!$B$22*A1635*B1635)/33000))</f>
        <v>EMPTY</v>
      </c>
      <c r="D1635" s="30" t="str">
        <f>IF(Setup!$H$2=0,"EMPTY",IF(B1635=0,"EMPTY",B1635*Setup!$B$22*Setup!$G$6*Setup!$D$11))</f>
        <v>EMPTY</v>
      </c>
      <c r="E1635" s="31">
        <f>IF(Setup!$H$2=0,-1,IF(A1635=0,-1,A1635*1/(Setup!$G$6)))</f>
        <v>-1</v>
      </c>
      <c r="F1635" s="31"/>
    </row>
    <row r="1636" spans="3:6" ht="15.75" x14ac:dyDescent="0.25">
      <c r="C1636" s="29" t="str">
        <f>IF(B1636=0,"EMPTY",Setup!$D$11*((PI()*2*Setup!$B$22*A1636*B1636)/33000))</f>
        <v>EMPTY</v>
      </c>
      <c r="D1636" s="30" t="str">
        <f>IF(Setup!$H$2=0,"EMPTY",IF(B1636=0,"EMPTY",B1636*Setup!$B$22*Setup!$G$6*Setup!$D$11))</f>
        <v>EMPTY</v>
      </c>
      <c r="E1636" s="31">
        <f>IF(Setup!$H$2=0,-1,IF(A1636=0,-1,A1636*1/(Setup!$G$6)))</f>
        <v>-1</v>
      </c>
      <c r="F1636" s="31"/>
    </row>
    <row r="1637" spans="3:6" ht="15.75" x14ac:dyDescent="0.25">
      <c r="C1637" s="29" t="str">
        <f>IF(B1637=0,"EMPTY",Setup!$D$11*((PI()*2*Setup!$B$22*A1637*B1637)/33000))</f>
        <v>EMPTY</v>
      </c>
      <c r="D1637" s="30" t="str">
        <f>IF(Setup!$H$2=0,"EMPTY",IF(B1637=0,"EMPTY",B1637*Setup!$B$22*Setup!$G$6*Setup!$D$11))</f>
        <v>EMPTY</v>
      </c>
      <c r="E1637" s="31">
        <f>IF(Setup!$H$2=0,-1,IF(A1637=0,-1,A1637*1/(Setup!$G$6)))</f>
        <v>-1</v>
      </c>
      <c r="F1637" s="31"/>
    </row>
    <row r="1638" spans="3:6" ht="15.75" x14ac:dyDescent="0.25">
      <c r="C1638" s="29" t="str">
        <f>IF(B1638=0,"EMPTY",Setup!$D$11*((PI()*2*Setup!$B$22*A1638*B1638)/33000))</f>
        <v>EMPTY</v>
      </c>
      <c r="D1638" s="30" t="str">
        <f>IF(Setup!$H$2=0,"EMPTY",IF(B1638=0,"EMPTY",B1638*Setup!$B$22*Setup!$G$6*Setup!$D$11))</f>
        <v>EMPTY</v>
      </c>
      <c r="E1638" s="31">
        <f>IF(Setup!$H$2=0,-1,IF(A1638=0,-1,A1638*1/(Setup!$G$6)))</f>
        <v>-1</v>
      </c>
      <c r="F1638" s="31"/>
    </row>
    <row r="1639" spans="3:6" ht="15.75" x14ac:dyDescent="0.25">
      <c r="C1639" s="29" t="str">
        <f>IF(B1639=0,"EMPTY",Setup!$D$11*((PI()*2*Setup!$B$22*A1639*B1639)/33000))</f>
        <v>EMPTY</v>
      </c>
      <c r="D1639" s="30" t="str">
        <f>IF(Setup!$H$2=0,"EMPTY",IF(B1639=0,"EMPTY",B1639*Setup!$B$22*Setup!$G$6*Setup!$D$11))</f>
        <v>EMPTY</v>
      </c>
      <c r="E1639" s="31">
        <f>IF(Setup!$H$2=0,-1,IF(A1639=0,-1,A1639*1/(Setup!$G$6)))</f>
        <v>-1</v>
      </c>
      <c r="F1639" s="31"/>
    </row>
    <row r="1640" spans="3:6" ht="15.75" x14ac:dyDescent="0.25">
      <c r="C1640" s="29" t="str">
        <f>IF(B1640=0,"EMPTY",Setup!$D$11*((PI()*2*Setup!$B$22*A1640*B1640)/33000))</f>
        <v>EMPTY</v>
      </c>
      <c r="D1640" s="30" t="str">
        <f>IF(Setup!$H$2=0,"EMPTY",IF(B1640=0,"EMPTY",B1640*Setup!$B$22*Setup!$G$6*Setup!$D$11))</f>
        <v>EMPTY</v>
      </c>
      <c r="E1640" s="31">
        <f>IF(Setup!$H$2=0,-1,IF(A1640=0,-1,A1640*1/(Setup!$G$6)))</f>
        <v>-1</v>
      </c>
      <c r="F1640" s="31"/>
    </row>
    <row r="1641" spans="3:6" ht="15.75" x14ac:dyDescent="0.25">
      <c r="C1641" s="29" t="str">
        <f>IF(B1641=0,"EMPTY",Setup!$D$11*((PI()*2*Setup!$B$22*A1641*B1641)/33000))</f>
        <v>EMPTY</v>
      </c>
      <c r="D1641" s="30" t="str">
        <f>IF(Setup!$H$2=0,"EMPTY",IF(B1641=0,"EMPTY",B1641*Setup!$B$22*Setup!$G$6*Setup!$D$11))</f>
        <v>EMPTY</v>
      </c>
      <c r="E1641" s="31">
        <f>IF(Setup!$H$2=0,-1,IF(A1641=0,-1,A1641*1/(Setup!$G$6)))</f>
        <v>-1</v>
      </c>
      <c r="F1641" s="31"/>
    </row>
    <row r="1642" spans="3:6" ht="15.75" x14ac:dyDescent="0.25">
      <c r="C1642" s="29" t="str">
        <f>IF(B1642=0,"EMPTY",Setup!$D$11*((PI()*2*Setup!$B$22*A1642*B1642)/33000))</f>
        <v>EMPTY</v>
      </c>
      <c r="D1642" s="30" t="str">
        <f>IF(Setup!$H$2=0,"EMPTY",IF(B1642=0,"EMPTY",B1642*Setup!$B$22*Setup!$G$6*Setup!$D$11))</f>
        <v>EMPTY</v>
      </c>
      <c r="E1642" s="31">
        <f>IF(Setup!$H$2=0,-1,IF(A1642=0,-1,A1642*1/(Setup!$G$6)))</f>
        <v>-1</v>
      </c>
      <c r="F1642" s="31"/>
    </row>
    <row r="1643" spans="3:6" ht="15.75" x14ac:dyDescent="0.25">
      <c r="C1643" s="29" t="str">
        <f>IF(B1643=0,"EMPTY",Setup!$D$11*((PI()*2*Setup!$B$22*A1643*B1643)/33000))</f>
        <v>EMPTY</v>
      </c>
      <c r="D1643" s="30" t="str">
        <f>IF(Setup!$H$2=0,"EMPTY",IF(B1643=0,"EMPTY",B1643*Setup!$B$22*Setup!$G$6*Setup!$D$11))</f>
        <v>EMPTY</v>
      </c>
      <c r="E1643" s="31">
        <f>IF(Setup!$H$2=0,-1,IF(A1643=0,-1,A1643*1/(Setup!$G$6)))</f>
        <v>-1</v>
      </c>
      <c r="F1643" s="31"/>
    </row>
    <row r="1644" spans="3:6" ht="15.75" x14ac:dyDescent="0.25">
      <c r="C1644" s="29" t="str">
        <f>IF(B1644=0,"EMPTY",Setup!$D$11*((PI()*2*Setup!$B$22*A1644*B1644)/33000))</f>
        <v>EMPTY</v>
      </c>
      <c r="D1644" s="30" t="str">
        <f>IF(Setup!$H$2=0,"EMPTY",IF(B1644=0,"EMPTY",B1644*Setup!$B$22*Setup!$G$6*Setup!$D$11))</f>
        <v>EMPTY</v>
      </c>
      <c r="E1644" s="31">
        <f>IF(Setup!$H$2=0,-1,IF(A1644=0,-1,A1644*1/(Setup!$G$6)))</f>
        <v>-1</v>
      </c>
      <c r="F1644" s="31"/>
    </row>
    <row r="1645" spans="3:6" ht="15.75" x14ac:dyDescent="0.25">
      <c r="C1645" s="29" t="str">
        <f>IF(B1645=0,"EMPTY",Setup!$D$11*((PI()*2*Setup!$B$22*A1645*B1645)/33000))</f>
        <v>EMPTY</v>
      </c>
      <c r="D1645" s="30" t="str">
        <f>IF(Setup!$H$2=0,"EMPTY",IF(B1645=0,"EMPTY",B1645*Setup!$B$22*Setup!$G$6*Setup!$D$11))</f>
        <v>EMPTY</v>
      </c>
      <c r="E1645" s="31">
        <f>IF(Setup!$H$2=0,-1,IF(A1645=0,-1,A1645*1/(Setup!$G$6)))</f>
        <v>-1</v>
      </c>
      <c r="F1645" s="31"/>
    </row>
    <row r="1646" spans="3:6" ht="15.75" x14ac:dyDescent="0.25">
      <c r="C1646" s="29" t="str">
        <f>IF(B1646=0,"EMPTY",Setup!$D$11*((PI()*2*Setup!$B$22*A1646*B1646)/33000))</f>
        <v>EMPTY</v>
      </c>
      <c r="D1646" s="30" t="str">
        <f>IF(Setup!$H$2=0,"EMPTY",IF(B1646=0,"EMPTY",B1646*Setup!$B$22*Setup!$G$6*Setup!$D$11))</f>
        <v>EMPTY</v>
      </c>
      <c r="E1646" s="31">
        <f>IF(Setup!$H$2=0,-1,IF(A1646=0,-1,A1646*1/(Setup!$G$6)))</f>
        <v>-1</v>
      </c>
      <c r="F1646" s="31"/>
    </row>
    <row r="1647" spans="3:6" ht="15.75" x14ac:dyDescent="0.25">
      <c r="C1647" s="29" t="str">
        <f>IF(B1647=0,"EMPTY",Setup!$D$11*((PI()*2*Setup!$B$22*A1647*B1647)/33000))</f>
        <v>EMPTY</v>
      </c>
      <c r="D1647" s="30" t="str">
        <f>IF(Setup!$H$2=0,"EMPTY",IF(B1647=0,"EMPTY",B1647*Setup!$B$22*Setup!$G$6*Setup!$D$11))</f>
        <v>EMPTY</v>
      </c>
      <c r="E1647" s="31">
        <f>IF(Setup!$H$2=0,-1,IF(A1647=0,-1,A1647*1/(Setup!$G$6)))</f>
        <v>-1</v>
      </c>
      <c r="F1647" s="31"/>
    </row>
    <row r="1648" spans="3:6" ht="15.75" x14ac:dyDescent="0.25">
      <c r="C1648" s="29" t="str">
        <f>IF(B1648=0,"EMPTY",Setup!$D$11*((PI()*2*Setup!$B$22*A1648*B1648)/33000))</f>
        <v>EMPTY</v>
      </c>
      <c r="D1648" s="30" t="str">
        <f>IF(Setup!$H$2=0,"EMPTY",IF(B1648=0,"EMPTY",B1648*Setup!$B$22*Setup!$G$6*Setup!$D$11))</f>
        <v>EMPTY</v>
      </c>
      <c r="E1648" s="31">
        <f>IF(Setup!$H$2=0,-1,IF(A1648=0,-1,A1648*1/(Setup!$G$6)))</f>
        <v>-1</v>
      </c>
      <c r="F1648" s="31"/>
    </row>
    <row r="1649" spans="3:6" ht="15.75" x14ac:dyDescent="0.25">
      <c r="C1649" s="29" t="str">
        <f>IF(B1649=0,"EMPTY",Setup!$D$11*((PI()*2*Setup!$B$22*A1649*B1649)/33000))</f>
        <v>EMPTY</v>
      </c>
      <c r="D1649" s="30" t="str">
        <f>IF(Setup!$H$2=0,"EMPTY",IF(B1649=0,"EMPTY",B1649*Setup!$B$22*Setup!$G$6*Setup!$D$11))</f>
        <v>EMPTY</v>
      </c>
      <c r="E1649" s="31">
        <f>IF(Setup!$H$2=0,-1,IF(A1649=0,-1,A1649*1/(Setup!$G$6)))</f>
        <v>-1</v>
      </c>
      <c r="F1649" s="31"/>
    </row>
    <row r="1650" spans="3:6" ht="15.75" x14ac:dyDescent="0.25">
      <c r="C1650" s="29" t="str">
        <f>IF(B1650=0,"EMPTY",Setup!$D$11*((PI()*2*Setup!$B$22*A1650*B1650)/33000))</f>
        <v>EMPTY</v>
      </c>
      <c r="D1650" s="30" t="str">
        <f>IF(Setup!$H$2=0,"EMPTY",IF(B1650=0,"EMPTY",B1650*Setup!$B$22*Setup!$G$6*Setup!$D$11))</f>
        <v>EMPTY</v>
      </c>
      <c r="E1650" s="31">
        <f>IF(Setup!$H$2=0,-1,IF(A1650=0,-1,A1650*1/(Setup!$G$6)))</f>
        <v>-1</v>
      </c>
      <c r="F1650" s="31"/>
    </row>
    <row r="1651" spans="3:6" ht="15.75" x14ac:dyDescent="0.25">
      <c r="C1651" s="29" t="str">
        <f>IF(B1651=0,"EMPTY",Setup!$D$11*((PI()*2*Setup!$B$22*A1651*B1651)/33000))</f>
        <v>EMPTY</v>
      </c>
      <c r="D1651" s="30" t="str">
        <f>IF(Setup!$H$2=0,"EMPTY",IF(B1651=0,"EMPTY",B1651*Setup!$B$22*Setup!$G$6*Setup!$D$11))</f>
        <v>EMPTY</v>
      </c>
      <c r="E1651" s="31">
        <f>IF(Setup!$H$2=0,-1,IF(A1651=0,-1,A1651*1/(Setup!$G$6)))</f>
        <v>-1</v>
      </c>
      <c r="F1651" s="31"/>
    </row>
    <row r="1652" spans="3:6" ht="15.75" x14ac:dyDescent="0.25">
      <c r="C1652" s="29" t="str">
        <f>IF(B1652=0,"EMPTY",Setup!$D$11*((PI()*2*Setup!$B$22*A1652*B1652)/33000))</f>
        <v>EMPTY</v>
      </c>
      <c r="D1652" s="30" t="str">
        <f>IF(Setup!$H$2=0,"EMPTY",IF(B1652=0,"EMPTY",B1652*Setup!$B$22*Setup!$G$6*Setup!$D$11))</f>
        <v>EMPTY</v>
      </c>
      <c r="E1652" s="31">
        <f>IF(Setup!$H$2=0,-1,IF(A1652=0,-1,A1652*1/(Setup!$G$6)))</f>
        <v>-1</v>
      </c>
      <c r="F1652" s="31"/>
    </row>
    <row r="1653" spans="3:6" ht="15.75" x14ac:dyDescent="0.25">
      <c r="C1653" s="29" t="str">
        <f>IF(B1653=0,"EMPTY",Setup!$D$11*((PI()*2*Setup!$B$22*A1653*B1653)/33000))</f>
        <v>EMPTY</v>
      </c>
      <c r="D1653" s="30" t="str">
        <f>IF(Setup!$H$2=0,"EMPTY",IF(B1653=0,"EMPTY",B1653*Setup!$B$22*Setup!$G$6*Setup!$D$11))</f>
        <v>EMPTY</v>
      </c>
      <c r="E1653" s="31">
        <f>IF(Setup!$H$2=0,-1,IF(A1653=0,-1,A1653*1/(Setup!$G$6)))</f>
        <v>-1</v>
      </c>
      <c r="F1653" s="31"/>
    </row>
    <row r="1654" spans="3:6" ht="15.75" x14ac:dyDescent="0.25">
      <c r="C1654" s="29" t="str">
        <f>IF(B1654=0,"EMPTY",Setup!$D$11*((PI()*2*Setup!$B$22*A1654*B1654)/33000))</f>
        <v>EMPTY</v>
      </c>
      <c r="D1654" s="30" t="str">
        <f>IF(Setup!$H$2=0,"EMPTY",IF(B1654=0,"EMPTY",B1654*Setup!$B$22*Setup!$G$6*Setup!$D$11))</f>
        <v>EMPTY</v>
      </c>
      <c r="E1654" s="31">
        <f>IF(Setup!$H$2=0,-1,IF(A1654=0,-1,A1654*1/(Setup!$G$6)))</f>
        <v>-1</v>
      </c>
      <c r="F1654" s="31"/>
    </row>
    <row r="1655" spans="3:6" ht="15.75" x14ac:dyDescent="0.25">
      <c r="C1655" s="29" t="str">
        <f>IF(B1655=0,"EMPTY",Setup!$D$11*((PI()*2*Setup!$B$22*A1655*B1655)/33000))</f>
        <v>EMPTY</v>
      </c>
      <c r="D1655" s="30" t="str">
        <f>IF(Setup!$H$2=0,"EMPTY",IF(B1655=0,"EMPTY",B1655*Setup!$B$22*Setup!$G$6*Setup!$D$11))</f>
        <v>EMPTY</v>
      </c>
      <c r="E1655" s="31">
        <f>IF(Setup!$H$2=0,-1,IF(A1655=0,-1,A1655*1/(Setup!$G$6)))</f>
        <v>-1</v>
      </c>
      <c r="F1655" s="31"/>
    </row>
    <row r="1656" spans="3:6" ht="15.75" x14ac:dyDescent="0.25">
      <c r="C1656" s="29" t="str">
        <f>IF(B1656=0,"EMPTY",Setup!$D$11*((PI()*2*Setup!$B$22*A1656*B1656)/33000))</f>
        <v>EMPTY</v>
      </c>
      <c r="D1656" s="30" t="str">
        <f>IF(Setup!$H$2=0,"EMPTY",IF(B1656=0,"EMPTY",B1656*Setup!$B$22*Setup!$G$6*Setup!$D$11))</f>
        <v>EMPTY</v>
      </c>
      <c r="E1656" s="31">
        <f>IF(Setup!$H$2=0,-1,IF(A1656=0,-1,A1656*1/(Setup!$G$6)))</f>
        <v>-1</v>
      </c>
      <c r="F1656" s="31"/>
    </row>
    <row r="1657" spans="3:6" ht="15.75" x14ac:dyDescent="0.25">
      <c r="C1657" s="29" t="str">
        <f>IF(B1657=0,"EMPTY",Setup!$D$11*((PI()*2*Setup!$B$22*A1657*B1657)/33000))</f>
        <v>EMPTY</v>
      </c>
      <c r="D1657" s="30" t="str">
        <f>IF(Setup!$H$2=0,"EMPTY",IF(B1657=0,"EMPTY",B1657*Setup!$B$22*Setup!$G$6*Setup!$D$11))</f>
        <v>EMPTY</v>
      </c>
      <c r="E1657" s="31">
        <f>IF(Setup!$H$2=0,-1,IF(A1657=0,-1,A1657*1/(Setup!$G$6)))</f>
        <v>-1</v>
      </c>
      <c r="F1657" s="31"/>
    </row>
    <row r="1658" spans="3:6" ht="15.75" x14ac:dyDescent="0.25">
      <c r="C1658" s="29" t="str">
        <f>IF(B1658=0,"EMPTY",Setup!$D$11*((PI()*2*Setup!$B$22*A1658*B1658)/33000))</f>
        <v>EMPTY</v>
      </c>
      <c r="D1658" s="30" t="str">
        <f>IF(Setup!$H$2=0,"EMPTY",IF(B1658=0,"EMPTY",B1658*Setup!$B$22*Setup!$G$6*Setup!$D$11))</f>
        <v>EMPTY</v>
      </c>
      <c r="E1658" s="31">
        <f>IF(Setup!$H$2=0,-1,IF(A1658=0,-1,A1658*1/(Setup!$G$6)))</f>
        <v>-1</v>
      </c>
      <c r="F1658" s="31"/>
    </row>
    <row r="1659" spans="3:6" ht="15.75" x14ac:dyDescent="0.25">
      <c r="C1659" s="29" t="str">
        <f>IF(B1659=0,"EMPTY",Setup!$D$11*((PI()*2*Setup!$B$22*A1659*B1659)/33000))</f>
        <v>EMPTY</v>
      </c>
      <c r="D1659" s="30" t="str">
        <f>IF(Setup!$H$2=0,"EMPTY",IF(B1659=0,"EMPTY",B1659*Setup!$B$22*Setup!$G$6*Setup!$D$11))</f>
        <v>EMPTY</v>
      </c>
      <c r="E1659" s="31">
        <f>IF(Setup!$H$2=0,-1,IF(A1659=0,-1,A1659*1/(Setup!$G$6)))</f>
        <v>-1</v>
      </c>
      <c r="F1659" s="31"/>
    </row>
    <row r="1660" spans="3:6" ht="15.75" x14ac:dyDescent="0.25">
      <c r="C1660" s="29" t="str">
        <f>IF(B1660=0,"EMPTY",Setup!$D$11*((PI()*2*Setup!$B$22*A1660*B1660)/33000))</f>
        <v>EMPTY</v>
      </c>
      <c r="D1660" s="30" t="str">
        <f>IF(Setup!$H$2=0,"EMPTY",IF(B1660=0,"EMPTY",B1660*Setup!$B$22*Setup!$G$6*Setup!$D$11))</f>
        <v>EMPTY</v>
      </c>
      <c r="E1660" s="31">
        <f>IF(Setup!$H$2=0,-1,IF(A1660=0,-1,A1660*1/(Setup!$G$6)))</f>
        <v>-1</v>
      </c>
      <c r="F1660" s="31"/>
    </row>
    <row r="1661" spans="3:6" ht="15.75" x14ac:dyDescent="0.25">
      <c r="C1661" s="29" t="str">
        <f>IF(B1661=0,"EMPTY",Setup!$D$11*((PI()*2*Setup!$B$22*A1661*B1661)/33000))</f>
        <v>EMPTY</v>
      </c>
      <c r="D1661" s="30" t="str">
        <f>IF(Setup!$H$2=0,"EMPTY",IF(B1661=0,"EMPTY",B1661*Setup!$B$22*Setup!$G$6*Setup!$D$11))</f>
        <v>EMPTY</v>
      </c>
      <c r="E1661" s="31">
        <f>IF(Setup!$H$2=0,-1,IF(A1661=0,-1,A1661*1/(Setup!$G$6)))</f>
        <v>-1</v>
      </c>
      <c r="F1661" s="31"/>
    </row>
    <row r="1662" spans="3:6" ht="15.75" x14ac:dyDescent="0.25">
      <c r="C1662" s="29" t="str">
        <f>IF(B1662=0,"EMPTY",Setup!$D$11*((PI()*2*Setup!$B$22*A1662*B1662)/33000))</f>
        <v>EMPTY</v>
      </c>
      <c r="D1662" s="30" t="str">
        <f>IF(Setup!$H$2=0,"EMPTY",IF(B1662=0,"EMPTY",B1662*Setup!$B$22*Setup!$G$6*Setup!$D$11))</f>
        <v>EMPTY</v>
      </c>
      <c r="E1662" s="31">
        <f>IF(Setup!$H$2=0,-1,IF(A1662=0,-1,A1662*1/(Setup!$G$6)))</f>
        <v>-1</v>
      </c>
      <c r="F1662" s="31"/>
    </row>
    <row r="1663" spans="3:6" ht="15.75" x14ac:dyDescent="0.25">
      <c r="C1663" s="29" t="str">
        <f>IF(B1663=0,"EMPTY",Setup!$D$11*((PI()*2*Setup!$B$22*A1663*B1663)/33000))</f>
        <v>EMPTY</v>
      </c>
      <c r="D1663" s="30" t="str">
        <f>IF(Setup!$H$2=0,"EMPTY",IF(B1663=0,"EMPTY",B1663*Setup!$B$22*Setup!$G$6*Setup!$D$11))</f>
        <v>EMPTY</v>
      </c>
      <c r="E1663" s="31">
        <f>IF(Setup!$H$2=0,-1,IF(A1663=0,-1,A1663*1/(Setup!$G$6)))</f>
        <v>-1</v>
      </c>
      <c r="F1663" s="31"/>
    </row>
    <row r="1664" spans="3:6" ht="15.75" x14ac:dyDescent="0.25">
      <c r="C1664" s="29" t="str">
        <f>IF(B1664=0,"EMPTY",Setup!$D$11*((PI()*2*Setup!$B$22*A1664*B1664)/33000))</f>
        <v>EMPTY</v>
      </c>
      <c r="D1664" s="30" t="str">
        <f>IF(Setup!$H$2=0,"EMPTY",IF(B1664=0,"EMPTY",B1664*Setup!$B$22*Setup!$G$6*Setup!$D$11))</f>
        <v>EMPTY</v>
      </c>
      <c r="E1664" s="31">
        <f>IF(Setup!$H$2=0,-1,IF(A1664=0,-1,A1664*1/(Setup!$G$6)))</f>
        <v>-1</v>
      </c>
      <c r="F1664" s="31"/>
    </row>
    <row r="1665" spans="3:6" ht="15.75" x14ac:dyDescent="0.25">
      <c r="C1665" s="29" t="str">
        <f>IF(B1665=0,"EMPTY",Setup!$D$11*((PI()*2*Setup!$B$22*A1665*B1665)/33000))</f>
        <v>EMPTY</v>
      </c>
      <c r="D1665" s="30" t="str">
        <f>IF(Setup!$H$2=0,"EMPTY",IF(B1665=0,"EMPTY",B1665*Setup!$B$22*Setup!$G$6*Setup!$D$11))</f>
        <v>EMPTY</v>
      </c>
      <c r="E1665" s="31">
        <f>IF(Setup!$H$2=0,-1,IF(A1665=0,-1,A1665*1/(Setup!$G$6)))</f>
        <v>-1</v>
      </c>
      <c r="F1665" s="31"/>
    </row>
    <row r="1666" spans="3:6" ht="15.75" x14ac:dyDescent="0.25">
      <c r="C1666" s="29" t="str">
        <f>IF(B1666=0,"EMPTY",Setup!$D$11*((PI()*2*Setup!$B$22*A1666*B1666)/33000))</f>
        <v>EMPTY</v>
      </c>
      <c r="D1666" s="30" t="str">
        <f>IF(Setup!$H$2=0,"EMPTY",IF(B1666=0,"EMPTY",B1666*Setup!$B$22*Setup!$G$6*Setup!$D$11))</f>
        <v>EMPTY</v>
      </c>
      <c r="E1666" s="31">
        <f>IF(Setup!$H$2=0,-1,IF(A1666=0,-1,A1666*1/(Setup!$G$6)))</f>
        <v>-1</v>
      </c>
      <c r="F1666" s="31"/>
    </row>
    <row r="1667" spans="3:6" ht="15.75" x14ac:dyDescent="0.25">
      <c r="C1667" s="29" t="str">
        <f>IF(B1667=0,"EMPTY",Setup!$D$11*((PI()*2*Setup!$B$22*A1667*B1667)/33000))</f>
        <v>EMPTY</v>
      </c>
      <c r="D1667" s="30" t="str">
        <f>IF(Setup!$H$2=0,"EMPTY",IF(B1667=0,"EMPTY",B1667*Setup!$B$22*Setup!$G$6*Setup!$D$11))</f>
        <v>EMPTY</v>
      </c>
      <c r="E1667" s="31">
        <f>IF(Setup!$H$2=0,-1,IF(A1667=0,-1,A1667*1/(Setup!$G$6)))</f>
        <v>-1</v>
      </c>
      <c r="F1667" s="31"/>
    </row>
    <row r="1668" spans="3:6" ht="15.75" x14ac:dyDescent="0.25">
      <c r="C1668" s="29" t="str">
        <f>IF(B1668=0,"EMPTY",Setup!$D$11*((PI()*2*Setup!$B$22*A1668*B1668)/33000))</f>
        <v>EMPTY</v>
      </c>
      <c r="D1668" s="30" t="str">
        <f>IF(Setup!$H$2=0,"EMPTY",IF(B1668=0,"EMPTY",B1668*Setup!$B$22*Setup!$G$6*Setup!$D$11))</f>
        <v>EMPTY</v>
      </c>
      <c r="E1668" s="31">
        <f>IF(Setup!$H$2=0,-1,IF(A1668=0,-1,A1668*1/(Setup!$G$6)))</f>
        <v>-1</v>
      </c>
      <c r="F1668" s="31"/>
    </row>
    <row r="1669" spans="3:6" ht="15.75" x14ac:dyDescent="0.25">
      <c r="C1669" s="29" t="str">
        <f>IF(B1669=0,"EMPTY",Setup!$D$11*((PI()*2*Setup!$B$22*A1669*B1669)/33000))</f>
        <v>EMPTY</v>
      </c>
      <c r="D1669" s="30" t="str">
        <f>IF(Setup!$H$2=0,"EMPTY",IF(B1669=0,"EMPTY",B1669*Setup!$B$22*Setup!$G$6*Setup!$D$11))</f>
        <v>EMPTY</v>
      </c>
      <c r="E1669" s="31">
        <f>IF(Setup!$H$2=0,-1,IF(A1669=0,-1,A1669*1/(Setup!$G$6)))</f>
        <v>-1</v>
      </c>
      <c r="F1669" s="31"/>
    </row>
    <row r="1670" spans="3:6" ht="15.75" x14ac:dyDescent="0.25">
      <c r="C1670" s="29" t="str">
        <f>IF(B1670=0,"EMPTY",Setup!$D$11*((PI()*2*Setup!$B$22*A1670*B1670)/33000))</f>
        <v>EMPTY</v>
      </c>
      <c r="D1670" s="30" t="str">
        <f>IF(Setup!$H$2=0,"EMPTY",IF(B1670=0,"EMPTY",B1670*Setup!$B$22*Setup!$G$6*Setup!$D$11))</f>
        <v>EMPTY</v>
      </c>
      <c r="E1670" s="31">
        <f>IF(Setup!$H$2=0,-1,IF(A1670=0,-1,A1670*1/(Setup!$G$6)))</f>
        <v>-1</v>
      </c>
      <c r="F1670" s="31"/>
    </row>
    <row r="1671" spans="3:6" ht="15.75" x14ac:dyDescent="0.25">
      <c r="C1671" s="29" t="str">
        <f>IF(B1671=0,"EMPTY",Setup!$D$11*((PI()*2*Setup!$B$22*A1671*B1671)/33000))</f>
        <v>EMPTY</v>
      </c>
      <c r="D1671" s="30" t="str">
        <f>IF(Setup!$H$2=0,"EMPTY",IF(B1671=0,"EMPTY",B1671*Setup!$B$22*Setup!$G$6*Setup!$D$11))</f>
        <v>EMPTY</v>
      </c>
      <c r="E1671" s="31">
        <f>IF(Setup!$H$2=0,-1,IF(A1671=0,-1,A1671*1/(Setup!$G$6)))</f>
        <v>-1</v>
      </c>
      <c r="F1671" s="31"/>
    </row>
    <row r="1672" spans="3:6" ht="15.75" x14ac:dyDescent="0.25">
      <c r="C1672" s="29" t="str">
        <f>IF(B1672=0,"EMPTY",Setup!$D$11*((PI()*2*Setup!$B$22*A1672*B1672)/33000))</f>
        <v>EMPTY</v>
      </c>
      <c r="D1672" s="30" t="str">
        <f>IF(Setup!$H$2=0,"EMPTY",IF(B1672=0,"EMPTY",B1672*Setup!$B$22*Setup!$G$6*Setup!$D$11))</f>
        <v>EMPTY</v>
      </c>
      <c r="E1672" s="31">
        <f>IF(Setup!$H$2=0,-1,IF(A1672=0,-1,A1672*1/(Setup!$G$6)))</f>
        <v>-1</v>
      </c>
      <c r="F1672" s="31"/>
    </row>
    <row r="1673" spans="3:6" ht="15.75" x14ac:dyDescent="0.25">
      <c r="C1673" s="29" t="str">
        <f>IF(B1673=0,"EMPTY",Setup!$D$11*((PI()*2*Setup!$B$22*A1673*B1673)/33000))</f>
        <v>EMPTY</v>
      </c>
      <c r="D1673" s="30" t="str">
        <f>IF(Setup!$H$2=0,"EMPTY",IF(B1673=0,"EMPTY",B1673*Setup!$B$22*Setup!$G$6*Setup!$D$11))</f>
        <v>EMPTY</v>
      </c>
      <c r="E1673" s="31">
        <f>IF(Setup!$H$2=0,-1,IF(A1673=0,-1,A1673*1/(Setup!$G$6)))</f>
        <v>-1</v>
      </c>
      <c r="F1673" s="31"/>
    </row>
    <row r="1674" spans="3:6" ht="15.75" x14ac:dyDescent="0.25">
      <c r="C1674" s="29" t="str">
        <f>IF(B1674=0,"EMPTY",Setup!$D$11*((PI()*2*Setup!$B$22*A1674*B1674)/33000))</f>
        <v>EMPTY</v>
      </c>
      <c r="D1674" s="30" t="str">
        <f>IF(Setup!$H$2=0,"EMPTY",IF(B1674=0,"EMPTY",B1674*Setup!$B$22*Setup!$G$6*Setup!$D$11))</f>
        <v>EMPTY</v>
      </c>
      <c r="E1674" s="31">
        <f>IF(Setup!$H$2=0,-1,IF(A1674=0,-1,A1674*1/(Setup!$G$6)))</f>
        <v>-1</v>
      </c>
      <c r="F1674" s="31"/>
    </row>
    <row r="1675" spans="3:6" ht="15.75" x14ac:dyDescent="0.25">
      <c r="C1675" s="29" t="str">
        <f>IF(B1675=0,"EMPTY",Setup!$D$11*((PI()*2*Setup!$B$22*A1675*B1675)/33000))</f>
        <v>EMPTY</v>
      </c>
      <c r="D1675" s="30" t="str">
        <f>IF(Setup!$H$2=0,"EMPTY",IF(B1675=0,"EMPTY",B1675*Setup!$B$22*Setup!$G$6*Setup!$D$11))</f>
        <v>EMPTY</v>
      </c>
      <c r="E1675" s="31">
        <f>IF(Setup!$H$2=0,-1,IF(A1675=0,-1,A1675*1/(Setup!$G$6)))</f>
        <v>-1</v>
      </c>
      <c r="F1675" s="31"/>
    </row>
    <row r="1676" spans="3:6" ht="15.75" x14ac:dyDescent="0.25">
      <c r="C1676" s="29" t="str">
        <f>IF(B1676=0,"EMPTY",Setup!$D$11*((PI()*2*Setup!$B$22*A1676*B1676)/33000))</f>
        <v>EMPTY</v>
      </c>
      <c r="D1676" s="30" t="str">
        <f>IF(Setup!$H$2=0,"EMPTY",IF(B1676=0,"EMPTY",B1676*Setup!$B$22*Setup!$G$6*Setup!$D$11))</f>
        <v>EMPTY</v>
      </c>
      <c r="E1676" s="31">
        <f>IF(Setup!$H$2=0,-1,IF(A1676=0,-1,A1676*1/(Setup!$G$6)))</f>
        <v>-1</v>
      </c>
      <c r="F1676" s="31"/>
    </row>
    <row r="1677" spans="3:6" ht="15.75" x14ac:dyDescent="0.25">
      <c r="C1677" s="29" t="str">
        <f>IF(B1677=0,"EMPTY",Setup!$D$11*((PI()*2*Setup!$B$22*A1677*B1677)/33000))</f>
        <v>EMPTY</v>
      </c>
      <c r="D1677" s="30" t="str">
        <f>IF(Setup!$H$2=0,"EMPTY",IF(B1677=0,"EMPTY",B1677*Setup!$B$22*Setup!$G$6*Setup!$D$11))</f>
        <v>EMPTY</v>
      </c>
      <c r="E1677" s="31">
        <f>IF(Setup!$H$2=0,-1,IF(A1677=0,-1,A1677*1/(Setup!$G$6)))</f>
        <v>-1</v>
      </c>
      <c r="F1677" s="31"/>
    </row>
    <row r="1678" spans="3:6" ht="15.75" x14ac:dyDescent="0.25">
      <c r="C1678" s="29" t="str">
        <f>IF(B1678=0,"EMPTY",Setup!$D$11*((PI()*2*Setup!$B$22*A1678*B1678)/33000))</f>
        <v>EMPTY</v>
      </c>
      <c r="D1678" s="30" t="str">
        <f>IF(Setup!$H$2=0,"EMPTY",IF(B1678=0,"EMPTY",B1678*Setup!$B$22*Setup!$G$6*Setup!$D$11))</f>
        <v>EMPTY</v>
      </c>
      <c r="E1678" s="31">
        <f>IF(Setup!$H$2=0,-1,IF(A1678=0,-1,A1678*1/(Setup!$G$6)))</f>
        <v>-1</v>
      </c>
      <c r="F1678" s="31"/>
    </row>
    <row r="1679" spans="3:6" ht="15.75" x14ac:dyDescent="0.25">
      <c r="C1679" s="29" t="str">
        <f>IF(B1679=0,"EMPTY",Setup!$D$11*((PI()*2*Setup!$B$22*A1679*B1679)/33000))</f>
        <v>EMPTY</v>
      </c>
      <c r="D1679" s="30" t="str">
        <f>IF(Setup!$H$2=0,"EMPTY",IF(B1679=0,"EMPTY",B1679*Setup!$B$22*Setup!$G$6*Setup!$D$11))</f>
        <v>EMPTY</v>
      </c>
      <c r="E1679" s="31">
        <f>IF(Setup!$H$2=0,-1,IF(A1679=0,-1,A1679*1/(Setup!$G$6)))</f>
        <v>-1</v>
      </c>
      <c r="F1679" s="31"/>
    </row>
    <row r="1680" spans="3:6" ht="15.75" x14ac:dyDescent="0.25">
      <c r="C1680" s="29" t="str">
        <f>IF(B1680=0,"EMPTY",Setup!$D$11*((PI()*2*Setup!$B$22*A1680*B1680)/33000))</f>
        <v>EMPTY</v>
      </c>
      <c r="D1680" s="30" t="str">
        <f>IF(Setup!$H$2=0,"EMPTY",IF(B1680=0,"EMPTY",B1680*Setup!$B$22*Setup!$G$6*Setup!$D$11))</f>
        <v>EMPTY</v>
      </c>
      <c r="E1680" s="31">
        <f>IF(Setup!$H$2=0,-1,IF(A1680=0,-1,A1680*1/(Setup!$G$6)))</f>
        <v>-1</v>
      </c>
      <c r="F1680" s="31"/>
    </row>
    <row r="1681" spans="3:6" ht="15.75" x14ac:dyDescent="0.25">
      <c r="C1681" s="29" t="str">
        <f>IF(B1681=0,"EMPTY",Setup!$D$11*((PI()*2*Setup!$B$22*A1681*B1681)/33000))</f>
        <v>EMPTY</v>
      </c>
      <c r="D1681" s="30" t="str">
        <f>IF(Setup!$H$2=0,"EMPTY",IF(B1681=0,"EMPTY",B1681*Setup!$B$22*Setup!$G$6*Setup!$D$11))</f>
        <v>EMPTY</v>
      </c>
      <c r="E1681" s="31">
        <f>IF(Setup!$H$2=0,-1,IF(A1681=0,-1,A1681*1/(Setup!$G$6)))</f>
        <v>-1</v>
      </c>
      <c r="F1681" s="31"/>
    </row>
    <row r="1682" spans="3:6" ht="15.75" x14ac:dyDescent="0.25">
      <c r="C1682" s="29" t="str">
        <f>IF(B1682=0,"EMPTY",Setup!$D$11*((PI()*2*Setup!$B$22*A1682*B1682)/33000))</f>
        <v>EMPTY</v>
      </c>
      <c r="D1682" s="30" t="str">
        <f>IF(Setup!$H$2=0,"EMPTY",IF(B1682=0,"EMPTY",B1682*Setup!$B$22*Setup!$G$6*Setup!$D$11))</f>
        <v>EMPTY</v>
      </c>
      <c r="E1682" s="31">
        <f>IF(Setup!$H$2=0,-1,IF(A1682=0,-1,A1682*1/(Setup!$G$6)))</f>
        <v>-1</v>
      </c>
      <c r="F1682" s="31"/>
    </row>
    <row r="1683" spans="3:6" ht="15.75" x14ac:dyDescent="0.25">
      <c r="C1683" s="29" t="str">
        <f>IF(B1683=0,"EMPTY",Setup!$D$11*((PI()*2*Setup!$B$22*A1683*B1683)/33000))</f>
        <v>EMPTY</v>
      </c>
      <c r="D1683" s="30" t="str">
        <f>IF(Setup!$H$2=0,"EMPTY",IF(B1683=0,"EMPTY",B1683*Setup!$B$22*Setup!$G$6*Setup!$D$11))</f>
        <v>EMPTY</v>
      </c>
      <c r="E1683" s="31">
        <f>IF(Setup!$H$2=0,-1,IF(A1683=0,-1,A1683*1/(Setup!$G$6)))</f>
        <v>-1</v>
      </c>
      <c r="F1683" s="31"/>
    </row>
    <row r="1684" spans="3:6" ht="15.75" x14ac:dyDescent="0.25">
      <c r="C1684" s="29" t="str">
        <f>IF(B1684=0,"EMPTY",Setup!$D$11*((PI()*2*Setup!$B$22*A1684*B1684)/33000))</f>
        <v>EMPTY</v>
      </c>
      <c r="D1684" s="30" t="str">
        <f>IF(Setup!$H$2=0,"EMPTY",IF(B1684=0,"EMPTY",B1684*Setup!$B$22*Setup!$G$6*Setup!$D$11))</f>
        <v>EMPTY</v>
      </c>
      <c r="E1684" s="31">
        <f>IF(Setup!$H$2=0,-1,IF(A1684=0,-1,A1684*1/(Setup!$G$6)))</f>
        <v>-1</v>
      </c>
      <c r="F1684" s="31"/>
    </row>
    <row r="1685" spans="3:6" ht="15.75" x14ac:dyDescent="0.25">
      <c r="C1685" s="29" t="str">
        <f>IF(B1685=0,"EMPTY",Setup!$D$11*((PI()*2*Setup!$B$22*A1685*B1685)/33000))</f>
        <v>EMPTY</v>
      </c>
      <c r="D1685" s="30" t="str">
        <f>IF(Setup!$H$2=0,"EMPTY",IF(B1685=0,"EMPTY",B1685*Setup!$B$22*Setup!$G$6*Setup!$D$11))</f>
        <v>EMPTY</v>
      </c>
      <c r="E1685" s="31">
        <f>IF(Setup!$H$2=0,-1,IF(A1685=0,-1,A1685*1/(Setup!$G$6)))</f>
        <v>-1</v>
      </c>
      <c r="F1685" s="31"/>
    </row>
  </sheetData>
  <sheetProtection selectLockedCells="1"/>
  <sortState xmlns:xlrd2="http://schemas.microsoft.com/office/spreadsheetml/2017/richdata2" ref="A2:B1686">
    <sortCondition ref="A2"/>
  </sortState>
  <customSheetViews>
    <customSheetView guid="{A5B2F500-5FB1-4588-8EBF-246FB800D862}" scale="60" zeroValues="0">
      <selection activeCell="D44" sqref="D44"/>
      <pageMargins left="0" right="0" top="0" bottom="0" header="0" footer="0"/>
      <pageSetup orientation="portrait" horizontalDpi="4294967295" verticalDpi="4294967295" r:id="rId1"/>
    </customSheetView>
  </customSheetViews>
  <mergeCells count="20">
    <mergeCell ref="G20:H20"/>
    <mergeCell ref="G21:H21"/>
    <mergeCell ref="G24:H24"/>
    <mergeCell ref="G32:I32"/>
    <mergeCell ref="G23:H23"/>
    <mergeCell ref="G27:H27"/>
    <mergeCell ref="G26:H26"/>
    <mergeCell ref="G39:H39"/>
    <mergeCell ref="G3:H4"/>
    <mergeCell ref="G35:H35"/>
    <mergeCell ref="G37:H37"/>
    <mergeCell ref="G38:H38"/>
    <mergeCell ref="G36:H36"/>
    <mergeCell ref="G5:H6"/>
    <mergeCell ref="G8:H9"/>
    <mergeCell ref="G33:H33"/>
    <mergeCell ref="G34:H34"/>
    <mergeCell ref="G16:H16"/>
    <mergeCell ref="G17:H17"/>
    <mergeCell ref="G19:H19"/>
  </mergeCells>
  <phoneticPr fontId="13" type="noConversion"/>
  <conditionalFormatting sqref="C2:F1685">
    <cfRule type="cellIs" dxfId="25" priority="16" operator="between">
      <formula>1</formula>
      <formula>10000</formula>
    </cfRule>
  </conditionalFormatting>
  <conditionalFormatting sqref="G17">
    <cfRule type="containsText" dxfId="24" priority="4" operator="containsText" text="BLANK">
      <formula>NOT(ISERROR(SEARCH("BLANK",G17)))</formula>
    </cfRule>
  </conditionalFormatting>
  <conditionalFormatting sqref="C2:C1685">
    <cfRule type="containsText" dxfId="23" priority="819" operator="containsText" text="EMPTY">
      <formula>NOT(ISERROR(SEARCH("EMPTY",C2)))</formula>
    </cfRule>
    <cfRule type="dataBar" priority="820">
      <dataBar>
        <cfvo type="min"/>
        <cfvo type="max"/>
        <color theme="8" tint="0.59999389629810485"/>
      </dataBar>
      <extLst>
        <ext xmlns:x14="http://schemas.microsoft.com/office/spreadsheetml/2009/9/main" uri="{B025F937-C7B1-47D3-B67F-A62EFF666E3E}">
          <x14:id>{AF79AB56-E3EC-4498-A18B-D940BD67C4A2}</x14:id>
        </ext>
      </extLst>
    </cfRule>
    <cfRule type="containsErrors" dxfId="22" priority="821">
      <formula>ISERROR(C2)</formula>
    </cfRule>
  </conditionalFormatting>
  <conditionalFormatting sqref="D2:D1685">
    <cfRule type="containsText" dxfId="21" priority="834" operator="containsText" text="EMPTY">
      <formula>NOT(ISERROR(SEARCH("EMPTY",D2)))</formula>
    </cfRule>
    <cfRule type="dataBar" priority="835">
      <dataBar>
        <cfvo type="min"/>
        <cfvo type="max"/>
        <color theme="8" tint="0.59999389629810485"/>
      </dataBar>
      <extLst>
        <ext xmlns:x14="http://schemas.microsoft.com/office/spreadsheetml/2009/9/main" uri="{B025F937-C7B1-47D3-B67F-A62EFF666E3E}">
          <x14:id>{3026B30E-4F8D-46B5-ABD7-B2BB72511A2F}</x14:id>
        </ext>
      </extLst>
    </cfRule>
    <cfRule type="containsErrors" dxfId="20" priority="836">
      <formula>ISERROR(D2)</formula>
    </cfRule>
  </conditionalFormatting>
  <conditionalFormatting sqref="E626:F1685 D2:F625 D3:D1685">
    <cfRule type="dataBar" priority="849">
      <dataBar>
        <cfvo type="min"/>
        <cfvo type="max"/>
        <color theme="8" tint="0.59999389629810485"/>
      </dataBar>
      <extLst>
        <ext xmlns:x14="http://schemas.microsoft.com/office/spreadsheetml/2009/9/main" uri="{B025F937-C7B1-47D3-B67F-A62EFF666E3E}">
          <x14:id>{F7E20955-8822-4016-9C41-BC3F5DD053BB}</x14:id>
        </ext>
      </extLst>
    </cfRule>
    <cfRule type="cellIs" dxfId="19" priority="850" operator="equal">
      <formula>-1</formula>
    </cfRule>
  </conditionalFormatting>
  <pageMargins left="0" right="0" top="0" bottom="0" header="0" footer="0"/>
  <pageSetup orientation="landscape" r:id="rId2"/>
  <ignoredErrors>
    <ignoredError sqref="G26:H27"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buttonWithClear">
                <anchor moveWithCells="1" sizeWithCells="1">
                  <from>
                    <xdr:col>8</xdr:col>
                    <xdr:colOff>38100</xdr:colOff>
                    <xdr:row>44</xdr:row>
                    <xdr:rowOff>190500</xdr:rowOff>
                  </from>
                  <to>
                    <xdr:col>8</xdr:col>
                    <xdr:colOff>1409700</xdr:colOff>
                    <xdr:row>48</xdr:row>
                    <xdr:rowOff>66675</xdr:rowOff>
                  </to>
                </anchor>
              </controlPr>
            </control>
          </mc:Choice>
        </mc:AlternateContent>
        <mc:AlternateContent xmlns:mc="http://schemas.openxmlformats.org/markup-compatibility/2006">
          <mc:Choice Requires="x14">
            <control shapeId="1027" r:id="rId6" name="Button 3">
              <controlPr defaultSize="0" print="0" autoFill="0" autoPict="0" macro="[0]!buttonClick">
                <anchor moveWithCells="1" sizeWithCells="1">
                  <from>
                    <xdr:col>7</xdr:col>
                    <xdr:colOff>419100</xdr:colOff>
                    <xdr:row>44</xdr:row>
                    <xdr:rowOff>200025</xdr:rowOff>
                  </from>
                  <to>
                    <xdr:col>7</xdr:col>
                    <xdr:colOff>1790700</xdr:colOff>
                    <xdr:row>48</xdr:row>
                    <xdr:rowOff>76200</xdr:rowOff>
                  </to>
                </anchor>
              </controlPr>
            </control>
          </mc:Choice>
        </mc:AlternateContent>
        <mc:AlternateContent xmlns:mc="http://schemas.openxmlformats.org/markup-compatibility/2006">
          <mc:Choice Requires="x14">
            <control shapeId="1029" r:id="rId7" name="Button 5">
              <controlPr defaultSize="0" print="0" autoFill="0" autoPict="0" macro="[0]!storeData">
                <anchor moveWithCells="1" sizeWithCells="1">
                  <from>
                    <xdr:col>7</xdr:col>
                    <xdr:colOff>419100</xdr:colOff>
                    <xdr:row>48</xdr:row>
                    <xdr:rowOff>161925</xdr:rowOff>
                  </from>
                  <to>
                    <xdr:col>8</xdr:col>
                    <xdr:colOff>1400175</xdr:colOff>
                    <xdr:row>52</xdr:row>
                    <xdr:rowOff>38100</xdr:rowOff>
                  </to>
                </anchor>
              </controlPr>
            </control>
          </mc:Choice>
        </mc:AlternateContent>
        <mc:AlternateContent xmlns:mc="http://schemas.openxmlformats.org/markup-compatibility/2006">
          <mc:Choice Requires="x14">
            <control shapeId="1030" r:id="rId8" name="Button 6">
              <controlPr defaultSize="0" print="0" autoFill="0" autoPict="0" macro="[0]!Sort.sort">
                <anchor moveWithCells="1" sizeWithCells="1">
                  <from>
                    <xdr:col>7</xdr:col>
                    <xdr:colOff>419100</xdr:colOff>
                    <xdr:row>52</xdr:row>
                    <xdr:rowOff>190500</xdr:rowOff>
                  </from>
                  <to>
                    <xdr:col>9</xdr:col>
                    <xdr:colOff>19050</xdr:colOff>
                    <xdr:row>55</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AF79AB56-E3EC-4498-A18B-D940BD67C4A2}">
            <x14:dataBar minLength="0" maxLength="100" gradient="0">
              <x14:cfvo type="autoMin"/>
              <x14:cfvo type="autoMax"/>
              <x14:negativeFillColor rgb="FFFF0000"/>
              <x14:axisColor rgb="FF000000"/>
            </x14:dataBar>
          </x14:cfRule>
          <xm:sqref>C2:C1685</xm:sqref>
        </x14:conditionalFormatting>
        <x14:conditionalFormatting xmlns:xm="http://schemas.microsoft.com/office/excel/2006/main">
          <x14:cfRule type="dataBar" id="{3026B30E-4F8D-46B5-ABD7-B2BB72511A2F}">
            <x14:dataBar minLength="0" maxLength="100" gradient="0">
              <x14:cfvo type="autoMin"/>
              <x14:cfvo type="autoMax"/>
              <x14:negativeFillColor rgb="FFFF0000"/>
              <x14:axisColor rgb="FF000000"/>
            </x14:dataBar>
          </x14:cfRule>
          <xm:sqref>D2:D1685</xm:sqref>
        </x14:conditionalFormatting>
        <x14:conditionalFormatting xmlns:xm="http://schemas.microsoft.com/office/excel/2006/main">
          <x14:cfRule type="dataBar" id="{F7E20955-8822-4016-9C41-BC3F5DD053BB}">
            <x14:dataBar minLength="0" maxLength="100" gradient="0" axisPosition="none">
              <x14:cfvo type="autoMin"/>
              <x14:cfvo type="autoMax"/>
              <x14:negativeFillColor theme="0"/>
            </x14:dataBar>
          </x14:cfRule>
          <xm:sqref>E626:F1685 D2:F625 D3:D1685</xm:sqref>
        </x14:conditionalFormatting>
        <x14:conditionalFormatting xmlns:xm="http://schemas.microsoft.com/office/excel/2006/main">
          <x14:cfRule type="expression" priority="1" stopIfTrue="1" id="{E34909DF-541C-4E0F-BA9B-B0076F59CCAC}">
            <xm:f>G27&gt;Setup!$B$9</xm:f>
            <x14:dxf>
              <font>
                <color rgb="FFFF0000"/>
              </font>
            </x14:dxf>
          </x14:cfRule>
          <x14:cfRule type="expression" priority="2" id="{00000000-000E-0000-0000-000001000000}">
            <xm:f>G27&lt;Setup!$B$9</xm:f>
            <x14:dxf>
              <font>
                <color theme="0"/>
              </font>
            </x14:dxf>
          </x14:cfRule>
          <xm:sqref>G26:H27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pageSetUpPr autoPageBreaks="0"/>
  </sheetPr>
  <dimension ref="A1:K42"/>
  <sheetViews>
    <sheetView workbookViewId="0">
      <selection activeCell="A2" sqref="A2:XFD2"/>
    </sheetView>
  </sheetViews>
  <sheetFormatPr defaultColWidth="8.85546875" defaultRowHeight="15" x14ac:dyDescent="0.25"/>
  <cols>
    <col min="1" max="1" width="5.140625" bestFit="1" customWidth="1"/>
    <col min="2" max="2" width="25.5703125" bestFit="1" customWidth="1"/>
    <col min="3" max="3" width="26.7109375" bestFit="1" customWidth="1"/>
    <col min="4" max="4" width="25.5703125" bestFit="1" customWidth="1"/>
    <col min="5" max="5" width="18.42578125" customWidth="1"/>
    <col min="6" max="6" width="9.42578125" customWidth="1"/>
    <col min="7" max="7" width="28.5703125" customWidth="1"/>
    <col min="8" max="8" width="18.85546875" bestFit="1" customWidth="1"/>
    <col min="9" max="9" width="19.42578125" bestFit="1" customWidth="1"/>
    <col min="10" max="10" width="16" customWidth="1"/>
    <col min="11" max="11" width="16.7109375" customWidth="1"/>
  </cols>
  <sheetData>
    <row r="1" spans="1:11" x14ac:dyDescent="0.25">
      <c r="A1" s="25" t="s">
        <v>17</v>
      </c>
      <c r="B1" s="25" t="s">
        <v>18</v>
      </c>
      <c r="C1" s="25" t="s">
        <v>279</v>
      </c>
      <c r="D1" s="1" t="s">
        <v>19</v>
      </c>
      <c r="E1" s="1" t="s">
        <v>5</v>
      </c>
      <c r="F1" s="25" t="s">
        <v>14</v>
      </c>
      <c r="G1" s="25" t="s">
        <v>20</v>
      </c>
      <c r="H1" s="25" t="s">
        <v>16</v>
      </c>
      <c r="I1" s="25" t="s">
        <v>21</v>
      </c>
      <c r="J1" s="2" t="s">
        <v>22</v>
      </c>
      <c r="K1" s="25" t="s">
        <v>23</v>
      </c>
    </row>
    <row r="2" spans="1:11" x14ac:dyDescent="0.25">
      <c r="A2" s="53">
        <v>1952</v>
      </c>
      <c r="B2" s="53">
        <v>472</v>
      </c>
      <c r="C2" s="81" t="s">
        <v>285</v>
      </c>
      <c r="D2" s="53">
        <v>60</v>
      </c>
      <c r="E2" s="9">
        <v>40.24</v>
      </c>
      <c r="F2" s="9">
        <v>35.299999999999997</v>
      </c>
      <c r="G2" s="53" t="s">
        <v>25</v>
      </c>
      <c r="H2" s="53">
        <v>975</v>
      </c>
      <c r="I2" s="53">
        <v>975</v>
      </c>
      <c r="J2" s="3">
        <v>12.8125</v>
      </c>
      <c r="K2" s="9">
        <v>11.64</v>
      </c>
    </row>
    <row r="4" spans="1:11" ht="15.75" thickBot="1" x14ac:dyDescent="0.3"/>
    <row r="5" spans="1:11" ht="15.75" thickBot="1" x14ac:dyDescent="0.3">
      <c r="B5" s="16" t="s">
        <v>26</v>
      </c>
      <c r="D5" s="120" t="s">
        <v>27</v>
      </c>
      <c r="E5" s="121"/>
      <c r="G5" s="10" t="s">
        <v>33</v>
      </c>
      <c r="H5" s="65"/>
    </row>
    <row r="6" spans="1:11" x14ac:dyDescent="0.25">
      <c r="B6" s="39">
        <v>2</v>
      </c>
      <c r="C6" s="4"/>
      <c r="D6" s="5" t="s">
        <v>28</v>
      </c>
      <c r="E6" s="6" t="s">
        <v>29</v>
      </c>
      <c r="G6" s="15">
        <f>IF(B6=1,(I2/H2)*(J2/C22),IF(B6=2,(540/H2)*(D22/C22)))</f>
        <v>0.25158942004367874</v>
      </c>
      <c r="H6" s="67"/>
    </row>
    <row r="7" spans="1:11" x14ac:dyDescent="0.25">
      <c r="D7" s="58" t="s">
        <v>1675</v>
      </c>
      <c r="E7" s="83">
        <f>(D7-32)*(5/9)</f>
        <v>16.111111111111111</v>
      </c>
    </row>
    <row r="8" spans="1:11" x14ac:dyDescent="0.25">
      <c r="B8" s="16" t="s">
        <v>30</v>
      </c>
      <c r="D8" s="7" t="s">
        <v>31</v>
      </c>
      <c r="E8" s="8" t="s">
        <v>32</v>
      </c>
      <c r="G8" s="66" t="s">
        <v>599</v>
      </c>
      <c r="H8" s="63"/>
    </row>
    <row r="9" spans="1:11" ht="15.75" thickBot="1" x14ac:dyDescent="0.3">
      <c r="B9" s="38">
        <v>1.3</v>
      </c>
      <c r="D9" s="37" t="s">
        <v>1657</v>
      </c>
      <c r="E9" s="84">
        <f>$D$9*33.8639</f>
        <v>1027.092087</v>
      </c>
      <c r="G9" s="82" t="s">
        <v>365</v>
      </c>
    </row>
    <row r="10" spans="1:11" x14ac:dyDescent="0.25">
      <c r="D10" s="122" t="s">
        <v>12</v>
      </c>
      <c r="E10" s="123"/>
      <c r="I10" s="118" t="s">
        <v>40</v>
      </c>
      <c r="J10" s="118"/>
      <c r="K10" s="118"/>
    </row>
    <row r="11" spans="1:11" x14ac:dyDescent="0.25">
      <c r="B11" s="25" t="s">
        <v>34</v>
      </c>
      <c r="D11" s="124">
        <f>1.176*((990/E9)*((E7+273)/298)^0.5)-0.176</f>
        <v>0.9404965678798991</v>
      </c>
      <c r="E11" s="125"/>
      <c r="G11" s="68" t="s">
        <v>601</v>
      </c>
      <c r="I11" s="119" t="s">
        <v>222</v>
      </c>
      <c r="J11" s="119"/>
      <c r="K11" s="119"/>
    </row>
    <row r="12" spans="1:11" ht="15.75" thickBot="1" x14ac:dyDescent="0.3">
      <c r="B12" s="26" t="s">
        <v>35</v>
      </c>
      <c r="D12" s="126" t="s">
        <v>37</v>
      </c>
      <c r="E12" s="127"/>
      <c r="G12" s="70" t="s">
        <v>602</v>
      </c>
      <c r="I12" s="117" t="s">
        <v>41</v>
      </c>
      <c r="J12" s="117"/>
      <c r="K12" s="117"/>
    </row>
    <row r="13" spans="1:11" x14ac:dyDescent="0.25">
      <c r="B13" s="26" t="s">
        <v>36</v>
      </c>
      <c r="G13" s="69" t="s">
        <v>1652</v>
      </c>
    </row>
    <row r="14" spans="1:11" x14ac:dyDescent="0.25">
      <c r="B14" s="26" t="s">
        <v>38</v>
      </c>
      <c r="D14" s="48" t="s">
        <v>273</v>
      </c>
      <c r="E14" s="50" t="s">
        <v>274</v>
      </c>
    </row>
    <row r="15" spans="1:11" x14ac:dyDescent="0.25">
      <c r="B15" s="26" t="s">
        <v>39</v>
      </c>
      <c r="D15" s="49" t="s">
        <v>605</v>
      </c>
      <c r="E15" s="51">
        <v>9600</v>
      </c>
    </row>
    <row r="20" spans="2:6" x14ac:dyDescent="0.25">
      <c r="B20" s="116" t="s">
        <v>221</v>
      </c>
      <c r="C20" s="116"/>
      <c r="D20" s="116"/>
    </row>
    <row r="21" spans="2:6" x14ac:dyDescent="0.25">
      <c r="B21" s="19" t="s">
        <v>220</v>
      </c>
      <c r="C21" s="20" t="s">
        <v>1655</v>
      </c>
      <c r="D21" s="21" t="s">
        <v>1656</v>
      </c>
    </row>
    <row r="22" spans="2:6" x14ac:dyDescent="0.25">
      <c r="B22" s="22">
        <v>5.2708332999999996</v>
      </c>
      <c r="C22" s="23">
        <v>39.625</v>
      </c>
      <c r="D22" s="24">
        <v>18</v>
      </c>
      <c r="F22" t="s">
        <v>365</v>
      </c>
    </row>
    <row r="41" spans="9:9" x14ac:dyDescent="0.25">
      <c r="I41" s="13" t="s">
        <v>42</v>
      </c>
    </row>
    <row r="42" spans="9:9" x14ac:dyDescent="0.25">
      <c r="I42" s="13">
        <f>6.1078/(0.99999683+$E$7*(-0.0090826951+$E$7*(0.000078736169+$E$7*(-0.00000061117958+$E$7*(0.0000000043884187+$E$7*(-0.000000000029883885+$E$7*(2.1874425E-16+$E$7*(-1.7892321E-15+$E$7*(1.1112018E-17+$E$7*(-3.0994571E-20))))))))))</f>
        <v>7.005894157041114</v>
      </c>
    </row>
  </sheetData>
  <sheetProtection selectLockedCells="1"/>
  <customSheetViews>
    <customSheetView guid="{A5B2F500-5FB1-4588-8EBF-246FB800D862}">
      <selection activeCell="A2" sqref="A2:H2"/>
      <pageMargins left="0" right="0" top="0" bottom="0" header="0" footer="0"/>
    </customSheetView>
  </customSheetViews>
  <mergeCells count="8">
    <mergeCell ref="B20:D20"/>
    <mergeCell ref="I12:K12"/>
    <mergeCell ref="I10:K10"/>
    <mergeCell ref="I11:K11"/>
    <mergeCell ref="D5:E5"/>
    <mergeCell ref="D10:E10"/>
    <mergeCell ref="D11:E11"/>
    <mergeCell ref="D12:E12"/>
  </mergeCells>
  <conditionalFormatting sqref="D10">
    <cfRule type="dataBar" priority="1017">
      <dataBar>
        <cfvo type="min"/>
        <cfvo type="max"/>
        <color theme="4" tint="0.59999389629810485"/>
      </dataBar>
      <extLst>
        <ext xmlns:x14="http://schemas.microsoft.com/office/spreadsheetml/2009/9/main" uri="{B025F937-C7B1-47D3-B67F-A62EFF666E3E}">
          <x14:id>{B48EBB35-7DC9-4AE3-8D94-9FF433CE8F4A}</x14:id>
        </ext>
      </extLst>
    </cfRule>
  </conditionalFormatting>
  <conditionalFormatting sqref="G2">
    <cfRule type="containsText" dxfId="16" priority="2" operator="containsText" text="L">
      <formula>NOT(ISERROR(SEARCH("L",G2)))</formula>
    </cfRule>
    <cfRule type="containsText" dxfId="15" priority="3" operator="containsText" text="G">
      <formula>NOT(ISERROR(SEARCH("G",G2)))</formula>
    </cfRule>
    <cfRule type="endsWith" dxfId="14" priority="4" operator="endsWith" text="D">
      <formula>RIGHT(G2,LEN("D"))="D"</formula>
    </cfRule>
  </conditionalFormatting>
  <conditionalFormatting sqref="A2:B2 D2:K2">
    <cfRule type="expression" dxfId="13" priority="1">
      <formula>MOD(ROW(),2)-0</formula>
    </cfRule>
  </conditionalFormatting>
  <dataValidations count="3">
    <dataValidation type="list" showInputMessage="1" showErrorMessage="1" sqref="B6" xr:uid="{00000000-0002-0000-0100-000000000000}">
      <formula1>"1,2"</formula1>
    </dataValidation>
    <dataValidation type="decimal" allowBlank="1" showInputMessage="1" showErrorMessage="1" error="Please enter a number between 0 and 120." sqref="D7" xr:uid="{00000000-0002-0000-0100-000001000000}">
      <formula1>0</formula1>
      <formula2>120</formula2>
    </dataValidation>
    <dataValidation type="decimal" showInputMessage="1" showErrorMessage="1" error="Please input a value between 25 and 35." sqref="D9" xr:uid="{00000000-0002-0000-0100-000002000000}">
      <formula1>25</formula1>
      <formula2>35</formula2>
    </dataValidation>
  </dataValidations>
  <pageMargins left="0" right="0" top="0" bottom="0"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2">
              <controlPr defaultSize="0" print="0" autoFill="0" autoPict="0" macro="[0]!buttonWithClear">
                <anchor moveWithCells="1" sizeWithCells="1">
                  <from>
                    <xdr:col>8</xdr:col>
                    <xdr:colOff>342900</xdr:colOff>
                    <xdr:row>18</xdr:row>
                    <xdr:rowOff>85725</xdr:rowOff>
                  </from>
                  <to>
                    <xdr:col>10</xdr:col>
                    <xdr:colOff>304800</xdr:colOff>
                    <xdr:row>22</xdr:row>
                    <xdr:rowOff>9525</xdr:rowOff>
                  </to>
                </anchor>
              </controlPr>
            </control>
          </mc:Choice>
        </mc:AlternateContent>
        <mc:AlternateContent xmlns:mc="http://schemas.openxmlformats.org/markup-compatibility/2006">
          <mc:Choice Requires="x14">
            <control shapeId="16386" r:id="rId5" name="Button 3">
              <controlPr defaultSize="0" print="0" autoFill="0" autoPict="0" macro="[0]!buttonClick">
                <anchor moveWithCells="1" sizeWithCells="1">
                  <from>
                    <xdr:col>8</xdr:col>
                    <xdr:colOff>342900</xdr:colOff>
                    <xdr:row>14</xdr:row>
                    <xdr:rowOff>19050</xdr:rowOff>
                  </from>
                  <to>
                    <xdr:col>10</xdr:col>
                    <xdr:colOff>295275</xdr:colOff>
                    <xdr:row>17</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48EBB35-7DC9-4AE3-8D94-9FF433CE8F4A}">
            <x14:dataBar minLength="0" maxLength="100" gradient="0">
              <x14:cfvo type="autoMin"/>
              <x14:cfvo type="autoMax"/>
              <x14:negativeFillColor rgb="FFFF0000"/>
              <x14:axisColor rgb="FF000000"/>
            </x14:dataBar>
          </x14:cfRule>
          <xm:sqref>D10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09318-3ABA-4693-9A0D-A0AB9364A1EE}">
  <sheetPr codeName="Sheet19"/>
  <dimension ref="A1:CE84"/>
  <sheetViews>
    <sheetView tabSelected="1" workbookViewId="0">
      <pane ySplit="1" topLeftCell="A47" activePane="bottomLeft" state="frozen"/>
      <selection pane="bottomLeft" activeCell="D12" sqref="D12"/>
    </sheetView>
  </sheetViews>
  <sheetFormatPr defaultRowHeight="15" x14ac:dyDescent="0.25"/>
  <cols>
    <col min="1" max="1" width="11.28515625" bestFit="1" customWidth="1"/>
    <col min="2" max="2" width="10.7109375" style="57" bestFit="1" customWidth="1"/>
    <col min="3" max="3" width="16.5703125" bestFit="1" customWidth="1"/>
    <col min="4" max="4" width="23.7109375" customWidth="1"/>
    <col min="5" max="5" width="5" bestFit="1" customWidth="1"/>
    <col min="6" max="6" width="18.7109375" bestFit="1" customWidth="1"/>
    <col min="7" max="7" width="13.140625" bestFit="1" customWidth="1"/>
    <col min="8" max="8" width="15" bestFit="1" customWidth="1"/>
    <col min="9" max="9" width="9" bestFit="1" customWidth="1"/>
    <col min="10" max="10" width="9.140625" style="60"/>
    <col min="11" max="11" width="6" style="60" bestFit="1" customWidth="1"/>
    <col min="13" max="13" width="11.42578125" bestFit="1" customWidth="1"/>
    <col min="14" max="18" width="9.140625" customWidth="1"/>
  </cols>
  <sheetData>
    <row r="1" spans="1:83" s="55" customFormat="1" ht="25.5" customHeight="1" x14ac:dyDescent="0.25">
      <c r="A1" s="55" t="s">
        <v>284</v>
      </c>
      <c r="B1" s="56" t="s">
        <v>277</v>
      </c>
      <c r="C1" s="55" t="s">
        <v>278</v>
      </c>
      <c r="D1" s="62" t="s">
        <v>600</v>
      </c>
      <c r="E1" s="55" t="s">
        <v>17</v>
      </c>
      <c r="F1" s="55" t="s">
        <v>279</v>
      </c>
      <c r="G1" s="55" t="s">
        <v>19</v>
      </c>
      <c r="H1" s="55" t="s">
        <v>280</v>
      </c>
      <c r="I1" s="55" t="s">
        <v>283</v>
      </c>
      <c r="J1" s="9" t="s">
        <v>281</v>
      </c>
      <c r="K1" s="9" t="s">
        <v>282</v>
      </c>
      <c r="L1" s="55" t="s">
        <v>5</v>
      </c>
      <c r="M1" s="55" t="s">
        <v>6</v>
      </c>
    </row>
    <row r="2" spans="1:83" x14ac:dyDescent="0.25">
      <c r="A2">
        <v>1</v>
      </c>
      <c r="B2" s="57">
        <v>44457</v>
      </c>
      <c r="C2" t="s">
        <v>1082</v>
      </c>
      <c r="D2" s="64"/>
      <c r="E2">
        <v>1955</v>
      </c>
      <c r="F2" t="s">
        <v>285</v>
      </c>
      <c r="G2" t="s">
        <v>1084</v>
      </c>
      <c r="H2">
        <v>528</v>
      </c>
      <c r="I2">
        <v>2</v>
      </c>
      <c r="J2" s="60" t="s">
        <v>1565</v>
      </c>
      <c r="K2" s="60" t="s">
        <v>1343</v>
      </c>
      <c r="L2">
        <v>0</v>
      </c>
      <c r="M2">
        <v>0</v>
      </c>
      <c r="T2" t="s">
        <v>1291</v>
      </c>
      <c r="U2" t="s">
        <v>1292</v>
      </c>
      <c r="V2" t="s">
        <v>1293</v>
      </c>
      <c r="W2" t="s">
        <v>1294</v>
      </c>
      <c r="X2" t="s">
        <v>1295</v>
      </c>
      <c r="Y2" t="s">
        <v>1296</v>
      </c>
      <c r="Z2" t="s">
        <v>1297</v>
      </c>
      <c r="AA2" t="s">
        <v>1298</v>
      </c>
      <c r="AB2" t="s">
        <v>1299</v>
      </c>
      <c r="AC2" t="s">
        <v>1300</v>
      </c>
      <c r="AD2" t="s">
        <v>1301</v>
      </c>
      <c r="AE2" t="s">
        <v>1302</v>
      </c>
      <c r="AF2" t="s">
        <v>1303</v>
      </c>
      <c r="AG2" t="s">
        <v>1304</v>
      </c>
      <c r="AH2" t="s">
        <v>1305</v>
      </c>
      <c r="AI2" t="s">
        <v>1306</v>
      </c>
      <c r="AJ2" t="s">
        <v>1307</v>
      </c>
      <c r="AK2" t="s">
        <v>1308</v>
      </c>
      <c r="AL2" t="s">
        <v>1309</v>
      </c>
      <c r="AM2" t="s">
        <v>1310</v>
      </c>
      <c r="AN2" t="s">
        <v>1311</v>
      </c>
      <c r="AO2" t="s">
        <v>1312</v>
      </c>
      <c r="AP2" t="s">
        <v>497</v>
      </c>
      <c r="AQ2" t="s">
        <v>1313</v>
      </c>
      <c r="AR2" t="s">
        <v>1314</v>
      </c>
      <c r="AS2" t="s">
        <v>1315</v>
      </c>
      <c r="AT2" t="s">
        <v>1316</v>
      </c>
      <c r="AU2" t="s">
        <v>1317</v>
      </c>
      <c r="AV2" t="s">
        <v>1318</v>
      </c>
      <c r="AW2" t="s">
        <v>1319</v>
      </c>
      <c r="AX2" t="s">
        <v>1320</v>
      </c>
      <c r="AY2" t="s">
        <v>1321</v>
      </c>
      <c r="AZ2" t="s">
        <v>287</v>
      </c>
      <c r="BA2" t="s">
        <v>288</v>
      </c>
      <c r="BB2" t="s">
        <v>289</v>
      </c>
      <c r="BC2" t="s">
        <v>290</v>
      </c>
      <c r="BD2" t="s">
        <v>291</v>
      </c>
      <c r="BE2" t="s">
        <v>292</v>
      </c>
      <c r="BF2" t="s">
        <v>293</v>
      </c>
      <c r="BG2" t="s">
        <v>294</v>
      </c>
      <c r="BH2" t="s">
        <v>295</v>
      </c>
      <c r="BI2" t="s">
        <v>296</v>
      </c>
      <c r="BJ2" t="s">
        <v>297</v>
      </c>
      <c r="BK2" t="s">
        <v>298</v>
      </c>
      <c r="BL2" t="s">
        <v>299</v>
      </c>
      <c r="BM2" t="s">
        <v>300</v>
      </c>
      <c r="BN2" t="s">
        <v>301</v>
      </c>
      <c r="BO2" t="s">
        <v>302</v>
      </c>
      <c r="BP2" t="s">
        <v>303</v>
      </c>
      <c r="BQ2" t="s">
        <v>304</v>
      </c>
      <c r="BR2" t="s">
        <v>305</v>
      </c>
      <c r="BS2" t="s">
        <v>306</v>
      </c>
      <c r="BT2" t="s">
        <v>307</v>
      </c>
      <c r="BU2" t="s">
        <v>308</v>
      </c>
      <c r="BV2" t="s">
        <v>309</v>
      </c>
      <c r="BW2" t="s">
        <v>310</v>
      </c>
      <c r="BX2" t="s">
        <v>311</v>
      </c>
      <c r="BY2" t="s">
        <v>312</v>
      </c>
      <c r="BZ2" t="s">
        <v>313</v>
      </c>
      <c r="CA2" t="s">
        <v>314</v>
      </c>
      <c r="CB2" t="s">
        <v>315</v>
      </c>
      <c r="CC2" t="s">
        <v>316</v>
      </c>
      <c r="CD2" t="s">
        <v>317</v>
      </c>
      <c r="CE2" t="s">
        <v>318</v>
      </c>
    </row>
    <row r="3" spans="1:83" x14ac:dyDescent="0.25">
      <c r="A3">
        <v>2</v>
      </c>
      <c r="B3" s="57">
        <v>43995</v>
      </c>
      <c r="C3" t="s">
        <v>321</v>
      </c>
      <c r="E3" t="s">
        <v>322</v>
      </c>
      <c r="F3" t="s">
        <v>323</v>
      </c>
      <c r="G3" t="s">
        <v>55</v>
      </c>
      <c r="H3">
        <v>222</v>
      </c>
      <c r="I3">
        <v>1</v>
      </c>
      <c r="J3" s="60">
        <v>30.21</v>
      </c>
      <c r="K3" s="60" t="s">
        <v>319</v>
      </c>
      <c r="L3">
        <v>22.554736737476407</v>
      </c>
      <c r="M3">
        <v>132.65219605059514</v>
      </c>
      <c r="T3" t="s">
        <v>324</v>
      </c>
      <c r="U3" t="s">
        <v>325</v>
      </c>
      <c r="V3" t="s">
        <v>326</v>
      </c>
      <c r="W3" t="s">
        <v>327</v>
      </c>
      <c r="X3" t="s">
        <v>328</v>
      </c>
      <c r="Y3" t="s">
        <v>329</v>
      </c>
      <c r="Z3" t="s">
        <v>330</v>
      </c>
      <c r="AA3" t="s">
        <v>331</v>
      </c>
      <c r="AB3" t="s">
        <v>332</v>
      </c>
    </row>
    <row r="4" spans="1:83" x14ac:dyDescent="0.25">
      <c r="A4">
        <v>3</v>
      </c>
      <c r="B4" s="57">
        <v>43995</v>
      </c>
      <c r="C4" t="s">
        <v>333</v>
      </c>
      <c r="E4" t="s">
        <v>334</v>
      </c>
      <c r="F4" t="s">
        <v>323</v>
      </c>
      <c r="G4" t="s">
        <v>335</v>
      </c>
      <c r="H4">
        <v>472</v>
      </c>
      <c r="I4">
        <v>1</v>
      </c>
      <c r="J4" s="60" t="s">
        <v>320</v>
      </c>
      <c r="K4" s="60" t="s">
        <v>319</v>
      </c>
      <c r="L4">
        <v>25.776841985687327</v>
      </c>
      <c r="M4">
        <v>140.94295830375731</v>
      </c>
      <c r="T4" t="s">
        <v>336</v>
      </c>
      <c r="U4" t="s">
        <v>337</v>
      </c>
      <c r="V4" t="s">
        <v>338</v>
      </c>
      <c r="W4" t="s">
        <v>339</v>
      </c>
      <c r="X4" t="s">
        <v>340</v>
      </c>
      <c r="Y4" t="s">
        <v>341</v>
      </c>
    </row>
    <row r="5" spans="1:83" x14ac:dyDescent="0.25">
      <c r="A5">
        <v>4</v>
      </c>
      <c r="B5" s="57">
        <v>43995</v>
      </c>
      <c r="C5" t="s">
        <v>342</v>
      </c>
      <c r="E5" t="s">
        <v>343</v>
      </c>
      <c r="F5" t="s">
        <v>323</v>
      </c>
      <c r="G5" t="s">
        <v>25</v>
      </c>
      <c r="H5">
        <v>383</v>
      </c>
      <c r="I5">
        <v>1</v>
      </c>
      <c r="J5" s="60" t="s">
        <v>320</v>
      </c>
      <c r="K5" s="60" t="s">
        <v>319</v>
      </c>
      <c r="L5">
        <v>37.200669683889664</v>
      </c>
      <c r="M5">
        <v>229.9412578857511</v>
      </c>
      <c r="T5" t="s">
        <v>344</v>
      </c>
      <c r="U5" t="s">
        <v>345</v>
      </c>
      <c r="V5" t="s">
        <v>346</v>
      </c>
      <c r="W5" t="s">
        <v>347</v>
      </c>
      <c r="X5" t="s">
        <v>348</v>
      </c>
      <c r="Y5" t="s">
        <v>349</v>
      </c>
      <c r="Z5" t="s">
        <v>350</v>
      </c>
      <c r="AA5" t="s">
        <v>351</v>
      </c>
      <c r="AB5" t="s">
        <v>352</v>
      </c>
      <c r="AC5" t="s">
        <v>353</v>
      </c>
    </row>
    <row r="6" spans="1:83" x14ac:dyDescent="0.25">
      <c r="A6">
        <v>5</v>
      </c>
      <c r="B6" s="57">
        <v>43995</v>
      </c>
      <c r="C6" t="s">
        <v>354</v>
      </c>
      <c r="E6" t="s">
        <v>355</v>
      </c>
      <c r="F6" t="s">
        <v>323</v>
      </c>
      <c r="G6" t="s">
        <v>24</v>
      </c>
      <c r="H6">
        <v>222</v>
      </c>
      <c r="I6">
        <v>1</v>
      </c>
      <c r="J6" s="60" t="s">
        <v>320</v>
      </c>
      <c r="K6" s="60" t="s">
        <v>319</v>
      </c>
      <c r="L6">
        <v>17.868038194624166</v>
      </c>
      <c r="M6">
        <v>111.09621419237341</v>
      </c>
      <c r="T6" t="s">
        <v>356</v>
      </c>
      <c r="U6" t="s">
        <v>357</v>
      </c>
      <c r="V6" t="s">
        <v>358</v>
      </c>
      <c r="W6" t="s">
        <v>359</v>
      </c>
      <c r="X6" t="s">
        <v>360</v>
      </c>
      <c r="Y6" t="s">
        <v>361</v>
      </c>
      <c r="Z6" t="s">
        <v>362</v>
      </c>
      <c r="AA6" t="s">
        <v>363</v>
      </c>
    </row>
    <row r="7" spans="1:83" x14ac:dyDescent="0.25">
      <c r="A7">
        <v>6</v>
      </c>
      <c r="B7" s="57">
        <v>43995</v>
      </c>
      <c r="C7" t="s">
        <v>364</v>
      </c>
      <c r="E7" t="s">
        <v>365</v>
      </c>
      <c r="F7" t="s">
        <v>366</v>
      </c>
      <c r="G7" t="s">
        <v>54</v>
      </c>
      <c r="H7">
        <v>480</v>
      </c>
      <c r="I7">
        <v>2</v>
      </c>
      <c r="J7" s="60" t="s">
        <v>320</v>
      </c>
      <c r="K7" s="60" t="s">
        <v>319</v>
      </c>
      <c r="L7">
        <v>55.996283631786667</v>
      </c>
      <c r="M7">
        <v>202.36282412570961</v>
      </c>
      <c r="T7" t="s">
        <v>367</v>
      </c>
      <c r="U7" t="s">
        <v>368</v>
      </c>
      <c r="V7" t="s">
        <v>369</v>
      </c>
      <c r="W7" t="s">
        <v>370</v>
      </c>
      <c r="X7" t="s">
        <v>371</v>
      </c>
      <c r="Y7" t="s">
        <v>372</v>
      </c>
      <c r="Z7" t="s">
        <v>373</v>
      </c>
      <c r="AA7" t="s">
        <v>374</v>
      </c>
      <c r="AB7" t="s">
        <v>375</v>
      </c>
      <c r="AC7" t="s">
        <v>376</v>
      </c>
      <c r="AD7" t="s">
        <v>377</v>
      </c>
    </row>
    <row r="8" spans="1:83" x14ac:dyDescent="0.25">
      <c r="A8">
        <v>7</v>
      </c>
      <c r="B8" s="57">
        <v>43995</v>
      </c>
      <c r="C8" t="s">
        <v>378</v>
      </c>
      <c r="E8" t="s">
        <v>379</v>
      </c>
      <c r="F8" t="s">
        <v>323</v>
      </c>
      <c r="G8" t="s">
        <v>380</v>
      </c>
      <c r="H8">
        <v>598</v>
      </c>
      <c r="I8">
        <v>2</v>
      </c>
      <c r="J8" s="60" t="s">
        <v>320</v>
      </c>
      <c r="K8" s="60" t="s">
        <v>319</v>
      </c>
      <c r="L8">
        <v>24.605167349974266</v>
      </c>
      <c r="M8">
        <v>117.40689976302428</v>
      </c>
      <c r="T8" t="s">
        <v>381</v>
      </c>
      <c r="U8" t="s">
        <v>382</v>
      </c>
      <c r="V8" t="s">
        <v>383</v>
      </c>
      <c r="W8" t="s">
        <v>384</v>
      </c>
      <c r="X8" t="s">
        <v>385</v>
      </c>
      <c r="Y8" t="s">
        <v>386</v>
      </c>
      <c r="Z8" t="s">
        <v>387</v>
      </c>
      <c r="AA8" t="s">
        <v>388</v>
      </c>
    </row>
    <row r="9" spans="1:83" x14ac:dyDescent="0.25">
      <c r="A9">
        <v>8</v>
      </c>
      <c r="B9" s="57">
        <v>43995</v>
      </c>
      <c r="C9" t="s">
        <v>389</v>
      </c>
      <c r="E9" t="s">
        <v>343</v>
      </c>
      <c r="F9" t="s">
        <v>323</v>
      </c>
      <c r="G9" t="s">
        <v>24</v>
      </c>
      <c r="H9">
        <v>384</v>
      </c>
      <c r="I9">
        <v>2</v>
      </c>
      <c r="J9" s="60" t="s">
        <v>320</v>
      </c>
      <c r="K9" s="60" t="s">
        <v>319</v>
      </c>
      <c r="L9">
        <v>24.121851562742627</v>
      </c>
      <c r="M9">
        <v>109.66578549293477</v>
      </c>
      <c r="T9" t="s">
        <v>390</v>
      </c>
      <c r="U9" t="s">
        <v>391</v>
      </c>
      <c r="V9" t="s">
        <v>392</v>
      </c>
      <c r="W9" t="s">
        <v>393</v>
      </c>
      <c r="X9" t="s">
        <v>394</v>
      </c>
      <c r="Y9" t="s">
        <v>395</v>
      </c>
      <c r="Z9" t="s">
        <v>396</v>
      </c>
      <c r="AA9" t="s">
        <v>397</v>
      </c>
      <c r="AB9" t="s">
        <v>398</v>
      </c>
      <c r="AC9" t="s">
        <v>399</v>
      </c>
    </row>
    <row r="10" spans="1:83" x14ac:dyDescent="0.25">
      <c r="A10">
        <v>9</v>
      </c>
      <c r="B10" s="57">
        <v>43995</v>
      </c>
      <c r="C10" t="s">
        <v>400</v>
      </c>
      <c r="E10" t="s">
        <v>401</v>
      </c>
      <c r="F10" t="s">
        <v>323</v>
      </c>
      <c r="G10" t="s">
        <v>402</v>
      </c>
      <c r="H10">
        <v>599</v>
      </c>
      <c r="I10">
        <v>2</v>
      </c>
      <c r="J10" s="60" t="s">
        <v>320</v>
      </c>
      <c r="K10" s="60" t="s">
        <v>319</v>
      </c>
      <c r="L10">
        <v>22.847655396404672</v>
      </c>
      <c r="M10">
        <v>66.636348514148921</v>
      </c>
      <c r="T10" t="s">
        <v>286</v>
      </c>
      <c r="U10" t="s">
        <v>403</v>
      </c>
      <c r="V10" t="s">
        <v>404</v>
      </c>
      <c r="W10" t="s">
        <v>405</v>
      </c>
      <c r="X10" t="s">
        <v>406</v>
      </c>
      <c r="Y10" t="s">
        <v>407</v>
      </c>
      <c r="Z10" t="s">
        <v>408</v>
      </c>
      <c r="AA10" t="s">
        <v>409</v>
      </c>
      <c r="AB10" t="s">
        <v>410</v>
      </c>
      <c r="AC10" t="s">
        <v>411</v>
      </c>
    </row>
    <row r="11" spans="1:83" x14ac:dyDescent="0.25">
      <c r="A11">
        <v>10</v>
      </c>
      <c r="B11" s="57">
        <v>44023</v>
      </c>
      <c r="C11" t="s">
        <v>413</v>
      </c>
      <c r="E11" t="s">
        <v>414</v>
      </c>
      <c r="F11" t="s">
        <v>323</v>
      </c>
      <c r="G11" t="s">
        <v>25</v>
      </c>
      <c r="H11">
        <v>295</v>
      </c>
      <c r="I11">
        <v>1</v>
      </c>
      <c r="J11" s="60" t="s">
        <v>320</v>
      </c>
      <c r="K11" s="60" t="s">
        <v>412</v>
      </c>
      <c r="L11">
        <v>36.691555874211048</v>
      </c>
      <c r="M11">
        <v>223.12961753584534</v>
      </c>
      <c r="T11" t="s">
        <v>415</v>
      </c>
      <c r="U11" t="s">
        <v>416</v>
      </c>
      <c r="V11" t="s">
        <v>417</v>
      </c>
      <c r="W11" t="s">
        <v>418</v>
      </c>
      <c r="X11" t="s">
        <v>419</v>
      </c>
      <c r="Y11" t="s">
        <v>420</v>
      </c>
      <c r="Z11" t="s">
        <v>421</v>
      </c>
      <c r="AA11" t="s">
        <v>422</v>
      </c>
      <c r="AB11" t="s">
        <v>423</v>
      </c>
    </row>
    <row r="12" spans="1:83" x14ac:dyDescent="0.25">
      <c r="A12">
        <v>11</v>
      </c>
      <c r="B12" s="57">
        <v>44023</v>
      </c>
      <c r="C12" t="s">
        <v>424</v>
      </c>
      <c r="E12">
        <v>1926</v>
      </c>
      <c r="F12" t="s">
        <v>366</v>
      </c>
      <c r="G12" t="s">
        <v>67</v>
      </c>
      <c r="H12">
        <v>91</v>
      </c>
      <c r="I12">
        <v>1</v>
      </c>
      <c r="J12" s="60" t="s">
        <v>320</v>
      </c>
      <c r="K12" s="60" t="s">
        <v>412</v>
      </c>
      <c r="L12">
        <v>20.49666224697307</v>
      </c>
      <c r="M12">
        <v>90.557971604791888</v>
      </c>
      <c r="T12" t="s">
        <v>425</v>
      </c>
      <c r="U12" t="s">
        <v>426</v>
      </c>
      <c r="V12" t="s">
        <v>427</v>
      </c>
      <c r="W12" t="s">
        <v>428</v>
      </c>
      <c r="X12" t="s">
        <v>429</v>
      </c>
      <c r="Y12" t="s">
        <v>430</v>
      </c>
      <c r="Z12" t="s">
        <v>431</v>
      </c>
      <c r="AA12" t="s">
        <v>432</v>
      </c>
      <c r="AB12" t="s">
        <v>433</v>
      </c>
      <c r="AC12" t="s">
        <v>434</v>
      </c>
    </row>
    <row r="13" spans="1:83" x14ac:dyDescent="0.25">
      <c r="A13">
        <v>12</v>
      </c>
      <c r="B13" s="57">
        <v>44023</v>
      </c>
      <c r="C13" t="s">
        <v>321</v>
      </c>
      <c r="E13">
        <v>1937</v>
      </c>
      <c r="F13" t="s">
        <v>323</v>
      </c>
      <c r="G13" t="s">
        <v>55</v>
      </c>
      <c r="H13">
        <v>222</v>
      </c>
      <c r="I13">
        <v>1</v>
      </c>
      <c r="J13" s="60" t="s">
        <v>320</v>
      </c>
      <c r="K13" s="60" t="s">
        <v>412</v>
      </c>
      <c r="L13">
        <v>23.533204802080192</v>
      </c>
      <c r="M13">
        <v>135.53058250325421</v>
      </c>
      <c r="T13" t="s">
        <v>397</v>
      </c>
      <c r="U13" t="s">
        <v>438</v>
      </c>
      <c r="V13" t="s">
        <v>439</v>
      </c>
      <c r="W13" t="s">
        <v>393</v>
      </c>
      <c r="X13" t="s">
        <v>440</v>
      </c>
      <c r="Y13" t="s">
        <v>441</v>
      </c>
      <c r="Z13" t="s">
        <v>442</v>
      </c>
      <c r="AA13" t="s">
        <v>443</v>
      </c>
      <c r="AB13" t="s">
        <v>444</v>
      </c>
    </row>
    <row r="14" spans="1:83" x14ac:dyDescent="0.25">
      <c r="A14">
        <v>13</v>
      </c>
      <c r="B14" s="57">
        <v>44023</v>
      </c>
      <c r="C14" t="s">
        <v>435</v>
      </c>
      <c r="E14">
        <v>1936</v>
      </c>
      <c r="F14" t="s">
        <v>436</v>
      </c>
      <c r="G14" t="s">
        <v>437</v>
      </c>
      <c r="H14">
        <v>304</v>
      </c>
      <c r="I14">
        <v>1</v>
      </c>
      <c r="J14" s="60" t="s">
        <v>320</v>
      </c>
      <c r="K14" s="60" t="s">
        <v>412</v>
      </c>
      <c r="L14">
        <v>25.84954175116831</v>
      </c>
      <c r="M14">
        <v>104.48996723629833</v>
      </c>
      <c r="T14" t="s">
        <v>445</v>
      </c>
      <c r="U14" t="s">
        <v>388</v>
      </c>
      <c r="V14" t="s">
        <v>446</v>
      </c>
      <c r="W14" t="s">
        <v>447</v>
      </c>
      <c r="X14" t="s">
        <v>448</v>
      </c>
      <c r="Y14" t="s">
        <v>449</v>
      </c>
      <c r="Z14" t="s">
        <v>450</v>
      </c>
      <c r="AA14" t="s">
        <v>339</v>
      </c>
      <c r="AB14" t="s">
        <v>451</v>
      </c>
      <c r="AC14" t="s">
        <v>452</v>
      </c>
      <c r="AD14" t="s">
        <v>453</v>
      </c>
      <c r="AE14" t="s">
        <v>454</v>
      </c>
      <c r="AF14" t="s">
        <v>455</v>
      </c>
      <c r="AG14" t="s">
        <v>456</v>
      </c>
    </row>
    <row r="15" spans="1:83" x14ac:dyDescent="0.25">
      <c r="A15">
        <v>14</v>
      </c>
      <c r="B15" s="57">
        <v>44023</v>
      </c>
      <c r="C15" t="s">
        <v>424</v>
      </c>
      <c r="E15">
        <v>1926</v>
      </c>
      <c r="F15" t="s">
        <v>457</v>
      </c>
      <c r="G15" t="s">
        <v>458</v>
      </c>
      <c r="H15">
        <v>128</v>
      </c>
      <c r="I15">
        <v>1</v>
      </c>
      <c r="J15" s="60" t="s">
        <v>320</v>
      </c>
      <c r="K15" s="60" t="s">
        <v>412</v>
      </c>
      <c r="L15">
        <v>25.226661227043774</v>
      </c>
      <c r="M15">
        <v>204.0779360096592</v>
      </c>
      <c r="T15" t="s">
        <v>460</v>
      </c>
      <c r="U15" t="s">
        <v>384</v>
      </c>
      <c r="V15" t="s">
        <v>461</v>
      </c>
      <c r="W15" t="s">
        <v>462</v>
      </c>
      <c r="X15" t="s">
        <v>463</v>
      </c>
      <c r="Y15" t="s">
        <v>464</v>
      </c>
      <c r="Z15" t="s">
        <v>465</v>
      </c>
      <c r="AA15" t="s">
        <v>466</v>
      </c>
      <c r="AB15" t="s">
        <v>467</v>
      </c>
      <c r="AC15" t="s">
        <v>468</v>
      </c>
    </row>
    <row r="16" spans="1:83" x14ac:dyDescent="0.25">
      <c r="A16">
        <v>15</v>
      </c>
      <c r="B16" s="57">
        <v>44023</v>
      </c>
      <c r="C16" t="s">
        <v>424</v>
      </c>
      <c r="E16">
        <v>1930</v>
      </c>
      <c r="F16" t="s">
        <v>459</v>
      </c>
      <c r="G16" t="s">
        <v>469</v>
      </c>
      <c r="H16">
        <v>185</v>
      </c>
      <c r="I16">
        <v>1</v>
      </c>
      <c r="J16" s="60" t="s">
        <v>320</v>
      </c>
      <c r="K16" s="60" t="s">
        <v>412</v>
      </c>
      <c r="L16">
        <v>26.316702144261715</v>
      </c>
      <c r="M16">
        <v>122.87676147096546</v>
      </c>
      <c r="T16" t="s">
        <v>471</v>
      </c>
      <c r="U16" t="s">
        <v>472</v>
      </c>
      <c r="V16" t="s">
        <v>473</v>
      </c>
      <c r="W16" t="s">
        <v>474</v>
      </c>
      <c r="X16" t="s">
        <v>475</v>
      </c>
      <c r="Y16" t="s">
        <v>476</v>
      </c>
      <c r="Z16" t="s">
        <v>477</v>
      </c>
      <c r="AA16" t="s">
        <v>478</v>
      </c>
      <c r="AB16" t="s">
        <v>479</v>
      </c>
      <c r="AC16" t="s">
        <v>480</v>
      </c>
    </row>
    <row r="17" spans="1:81" x14ac:dyDescent="0.25">
      <c r="A17">
        <v>16</v>
      </c>
      <c r="B17" s="57">
        <v>44086</v>
      </c>
      <c r="C17" t="s">
        <v>483</v>
      </c>
      <c r="D17" s="64"/>
      <c r="E17" t="s">
        <v>343</v>
      </c>
      <c r="F17" t="s">
        <v>323</v>
      </c>
      <c r="G17" t="s">
        <v>24</v>
      </c>
      <c r="H17">
        <v>384</v>
      </c>
      <c r="I17">
        <v>2</v>
      </c>
      <c r="J17" s="60" t="s">
        <v>482</v>
      </c>
      <c r="K17" s="60" t="s">
        <v>481</v>
      </c>
      <c r="L17">
        <v>30.570292280202274</v>
      </c>
      <c r="M17">
        <v>131.17201163157057</v>
      </c>
      <c r="T17" t="s">
        <v>484</v>
      </c>
      <c r="U17" t="s">
        <v>463</v>
      </c>
      <c r="V17" t="s">
        <v>485</v>
      </c>
      <c r="W17" t="s">
        <v>486</v>
      </c>
      <c r="X17" t="s">
        <v>487</v>
      </c>
      <c r="Y17" t="s">
        <v>488</v>
      </c>
      <c r="Z17" t="s">
        <v>489</v>
      </c>
      <c r="AA17" t="s">
        <v>490</v>
      </c>
    </row>
    <row r="18" spans="1:81" x14ac:dyDescent="0.25">
      <c r="A18">
        <v>17</v>
      </c>
      <c r="B18" s="57">
        <v>44086</v>
      </c>
      <c r="C18" t="s">
        <v>491</v>
      </c>
      <c r="D18" s="64"/>
      <c r="E18" t="s">
        <v>492</v>
      </c>
      <c r="F18" t="s">
        <v>323</v>
      </c>
      <c r="G18" t="s">
        <v>52</v>
      </c>
      <c r="H18">
        <v>312</v>
      </c>
      <c r="I18">
        <v>2</v>
      </c>
      <c r="J18" s="60" t="s">
        <v>482</v>
      </c>
      <c r="K18" s="60" t="s">
        <v>481</v>
      </c>
      <c r="L18">
        <v>12.189572808339125</v>
      </c>
      <c r="M18">
        <v>50.544725400379427</v>
      </c>
      <c r="T18" t="s">
        <v>493</v>
      </c>
      <c r="U18" t="s">
        <v>494</v>
      </c>
      <c r="V18" t="s">
        <v>495</v>
      </c>
      <c r="W18" t="s">
        <v>496</v>
      </c>
      <c r="X18" t="s">
        <v>497</v>
      </c>
      <c r="Y18" t="s">
        <v>498</v>
      </c>
      <c r="Z18" t="s">
        <v>499</v>
      </c>
    </row>
    <row r="19" spans="1:81" x14ac:dyDescent="0.25">
      <c r="A19">
        <v>18</v>
      </c>
      <c r="B19" s="57">
        <v>44086</v>
      </c>
      <c r="C19" t="s">
        <v>503</v>
      </c>
      <c r="E19" t="s">
        <v>504</v>
      </c>
      <c r="F19" t="s">
        <v>505</v>
      </c>
      <c r="G19" t="s">
        <v>506</v>
      </c>
      <c r="H19">
        <v>1099</v>
      </c>
      <c r="I19">
        <v>2</v>
      </c>
      <c r="J19" s="60" t="s">
        <v>320</v>
      </c>
      <c r="K19" s="60" t="s">
        <v>502</v>
      </c>
      <c r="L19">
        <v>47.199641779149083</v>
      </c>
      <c r="M19">
        <v>110.45017030617696</v>
      </c>
      <c r="T19" t="s">
        <v>508</v>
      </c>
      <c r="U19" t="s">
        <v>509</v>
      </c>
      <c r="V19" t="s">
        <v>510</v>
      </c>
      <c r="W19" t="s">
        <v>511</v>
      </c>
      <c r="X19" t="s">
        <v>512</v>
      </c>
      <c r="Y19" t="s">
        <v>513</v>
      </c>
      <c r="Z19" t="s">
        <v>514</v>
      </c>
      <c r="AA19" t="s">
        <v>515</v>
      </c>
      <c r="AB19" t="s">
        <v>516</v>
      </c>
      <c r="AC19" t="s">
        <v>517</v>
      </c>
      <c r="AD19" t="s">
        <v>518</v>
      </c>
      <c r="AE19" t="s">
        <v>519</v>
      </c>
      <c r="AF19" t="s">
        <v>520</v>
      </c>
    </row>
    <row r="20" spans="1:81" x14ac:dyDescent="0.25">
      <c r="A20">
        <v>19</v>
      </c>
      <c r="B20" s="57">
        <v>44086</v>
      </c>
      <c r="C20" t="s">
        <v>523</v>
      </c>
      <c r="E20" t="s">
        <v>343</v>
      </c>
      <c r="F20" t="s">
        <v>366</v>
      </c>
      <c r="G20" t="s">
        <v>524</v>
      </c>
      <c r="H20">
        <v>340</v>
      </c>
      <c r="I20">
        <v>2</v>
      </c>
      <c r="J20" s="60" t="s">
        <v>320</v>
      </c>
      <c r="K20" s="60" t="s">
        <v>502</v>
      </c>
      <c r="L20">
        <v>28.243193356691641</v>
      </c>
      <c r="M20">
        <v>140.16519074387938</v>
      </c>
      <c r="T20" t="s">
        <v>525</v>
      </c>
      <c r="U20" t="s">
        <v>526</v>
      </c>
      <c r="V20" t="s">
        <v>527</v>
      </c>
      <c r="W20" t="s">
        <v>528</v>
      </c>
      <c r="X20" t="s">
        <v>529</v>
      </c>
      <c r="Y20" t="s">
        <v>530</v>
      </c>
      <c r="Z20" t="s">
        <v>531</v>
      </c>
      <c r="AA20" t="s">
        <v>532</v>
      </c>
      <c r="AB20" t="s">
        <v>533</v>
      </c>
    </row>
    <row r="21" spans="1:81" x14ac:dyDescent="0.25">
      <c r="A21">
        <v>20</v>
      </c>
      <c r="B21" s="57">
        <v>44086</v>
      </c>
      <c r="C21" t="s">
        <v>507</v>
      </c>
      <c r="E21" t="s">
        <v>521</v>
      </c>
      <c r="F21" t="s">
        <v>323</v>
      </c>
      <c r="G21" t="s">
        <v>522</v>
      </c>
      <c r="H21">
        <v>594</v>
      </c>
      <c r="I21">
        <v>1</v>
      </c>
      <c r="J21" s="60" t="s">
        <v>320</v>
      </c>
      <c r="K21" s="60" t="s">
        <v>502</v>
      </c>
      <c r="L21">
        <v>49.6027067054303</v>
      </c>
      <c r="M21">
        <v>258.14332773482329</v>
      </c>
      <c r="T21" t="s">
        <v>534</v>
      </c>
      <c r="U21" t="s">
        <v>535</v>
      </c>
      <c r="V21" t="s">
        <v>536</v>
      </c>
      <c r="W21" t="s">
        <v>537</v>
      </c>
      <c r="X21" t="s">
        <v>538</v>
      </c>
      <c r="Y21" t="s">
        <v>539</v>
      </c>
      <c r="Z21" t="s">
        <v>540</v>
      </c>
      <c r="AA21" t="s">
        <v>541</v>
      </c>
      <c r="AB21" t="s">
        <v>542</v>
      </c>
      <c r="AC21" t="s">
        <v>543</v>
      </c>
      <c r="AD21" t="s">
        <v>544</v>
      </c>
      <c r="AE21" t="s">
        <v>545</v>
      </c>
    </row>
    <row r="22" spans="1:81" x14ac:dyDescent="0.25">
      <c r="A22">
        <v>21</v>
      </c>
      <c r="B22" s="57">
        <v>44086</v>
      </c>
      <c r="C22" t="s">
        <v>546</v>
      </c>
      <c r="E22" t="s">
        <v>547</v>
      </c>
      <c r="F22" t="s">
        <v>323</v>
      </c>
      <c r="G22" t="s">
        <v>25</v>
      </c>
      <c r="H22">
        <v>383</v>
      </c>
      <c r="I22">
        <v>1</v>
      </c>
      <c r="J22" s="60" t="s">
        <v>320</v>
      </c>
      <c r="K22" s="60" t="s">
        <v>502</v>
      </c>
      <c r="L22">
        <v>38.583074314395695</v>
      </c>
      <c r="M22">
        <v>222.19932007554411</v>
      </c>
      <c r="T22" t="s">
        <v>548</v>
      </c>
      <c r="U22" t="s">
        <v>549</v>
      </c>
      <c r="V22" t="s">
        <v>550</v>
      </c>
      <c r="W22" t="s">
        <v>551</v>
      </c>
      <c r="X22" t="s">
        <v>552</v>
      </c>
      <c r="Y22" t="s">
        <v>553</v>
      </c>
      <c r="Z22" t="s">
        <v>554</v>
      </c>
      <c r="AA22" t="s">
        <v>555</v>
      </c>
      <c r="AB22" t="s">
        <v>556</v>
      </c>
      <c r="AC22" t="s">
        <v>557</v>
      </c>
    </row>
    <row r="23" spans="1:81" x14ac:dyDescent="0.25">
      <c r="A23">
        <v>22</v>
      </c>
      <c r="B23" s="57">
        <v>44086</v>
      </c>
      <c r="C23" t="s">
        <v>558</v>
      </c>
      <c r="E23" t="s">
        <v>559</v>
      </c>
      <c r="F23" t="s">
        <v>323</v>
      </c>
      <c r="G23" t="s">
        <v>560</v>
      </c>
      <c r="H23">
        <v>493</v>
      </c>
      <c r="I23">
        <v>2</v>
      </c>
      <c r="J23" s="60" t="s">
        <v>320</v>
      </c>
      <c r="K23" s="60" t="s">
        <v>502</v>
      </c>
      <c r="L23">
        <v>40.770725054058083</v>
      </c>
      <c r="M23">
        <v>211.26847622277452</v>
      </c>
      <c r="T23" t="s">
        <v>561</v>
      </c>
      <c r="U23" t="s">
        <v>562</v>
      </c>
      <c r="V23" t="s">
        <v>563</v>
      </c>
      <c r="W23" t="s">
        <v>564</v>
      </c>
      <c r="X23" t="s">
        <v>565</v>
      </c>
      <c r="Y23" t="s">
        <v>566</v>
      </c>
      <c r="Z23" t="s">
        <v>567</v>
      </c>
      <c r="AA23" t="s">
        <v>568</v>
      </c>
      <c r="AB23" t="s">
        <v>569</v>
      </c>
    </row>
    <row r="24" spans="1:81" x14ac:dyDescent="0.25">
      <c r="A24">
        <v>23</v>
      </c>
      <c r="B24" s="57">
        <v>44086</v>
      </c>
      <c r="C24" t="s">
        <v>570</v>
      </c>
      <c r="E24" t="s">
        <v>571</v>
      </c>
      <c r="F24" t="s">
        <v>323</v>
      </c>
      <c r="G24" t="s">
        <v>572</v>
      </c>
      <c r="H24">
        <v>1</v>
      </c>
      <c r="I24">
        <v>1</v>
      </c>
      <c r="J24" s="60" t="s">
        <v>320</v>
      </c>
      <c r="K24" s="60" t="s">
        <v>502</v>
      </c>
      <c r="L24">
        <v>13.571093756986576</v>
      </c>
      <c r="M24">
        <v>111.67070340746933</v>
      </c>
      <c r="T24" t="s">
        <v>573</v>
      </c>
      <c r="U24" t="s">
        <v>574</v>
      </c>
      <c r="V24" t="s">
        <v>575</v>
      </c>
      <c r="W24" t="s">
        <v>576</v>
      </c>
      <c r="X24" t="s">
        <v>577</v>
      </c>
    </row>
    <row r="25" spans="1:81" x14ac:dyDescent="0.25">
      <c r="A25">
        <v>24</v>
      </c>
      <c r="B25" s="57">
        <v>44086</v>
      </c>
      <c r="C25" t="s">
        <v>578</v>
      </c>
      <c r="E25" t="s">
        <v>579</v>
      </c>
      <c r="F25" t="s">
        <v>323</v>
      </c>
      <c r="G25" t="s">
        <v>380</v>
      </c>
      <c r="H25">
        <v>598</v>
      </c>
      <c r="I25">
        <v>1</v>
      </c>
      <c r="J25" s="60" t="s">
        <v>320</v>
      </c>
      <c r="K25" s="60" t="s">
        <v>502</v>
      </c>
      <c r="L25">
        <v>29.104850103166978</v>
      </c>
      <c r="M25">
        <v>169.09228669369645</v>
      </c>
      <c r="T25" t="s">
        <v>580</v>
      </c>
      <c r="U25" t="s">
        <v>581</v>
      </c>
      <c r="V25" t="s">
        <v>582</v>
      </c>
      <c r="W25" t="s">
        <v>583</v>
      </c>
      <c r="X25" t="s">
        <v>584</v>
      </c>
      <c r="Y25" t="s">
        <v>585</v>
      </c>
      <c r="Z25" t="s">
        <v>586</v>
      </c>
      <c r="AA25" t="s">
        <v>587</v>
      </c>
    </row>
    <row r="26" spans="1:81" x14ac:dyDescent="0.25">
      <c r="A26">
        <v>25</v>
      </c>
      <c r="B26" s="57">
        <v>44086</v>
      </c>
      <c r="C26" t="s">
        <v>598</v>
      </c>
      <c r="E26">
        <v>1983</v>
      </c>
      <c r="F26" t="s">
        <v>588</v>
      </c>
      <c r="G26" t="s">
        <v>589</v>
      </c>
      <c r="I26">
        <v>1</v>
      </c>
      <c r="J26" s="60" t="s">
        <v>320</v>
      </c>
      <c r="K26" s="60" t="s">
        <v>502</v>
      </c>
      <c r="L26">
        <v>25.27526456327659</v>
      </c>
      <c r="M26">
        <v>609.11292767710552</v>
      </c>
      <c r="T26" t="s">
        <v>590</v>
      </c>
      <c r="U26" t="s">
        <v>591</v>
      </c>
      <c r="V26" t="s">
        <v>592</v>
      </c>
      <c r="W26" t="s">
        <v>593</v>
      </c>
      <c r="X26" t="s">
        <v>594</v>
      </c>
      <c r="Z26" t="s">
        <v>595</v>
      </c>
      <c r="AA26" t="s">
        <v>596</v>
      </c>
      <c r="AB26" t="s">
        <v>597</v>
      </c>
    </row>
    <row r="27" spans="1:81" x14ac:dyDescent="0.25">
      <c r="A27">
        <v>26</v>
      </c>
      <c r="B27" s="57">
        <v>44450</v>
      </c>
      <c r="C27" t="s">
        <v>483</v>
      </c>
      <c r="D27" s="64"/>
      <c r="E27" t="s">
        <v>607</v>
      </c>
      <c r="F27" t="s">
        <v>323</v>
      </c>
      <c r="G27" t="s">
        <v>24</v>
      </c>
      <c r="H27">
        <v>384</v>
      </c>
      <c r="I27">
        <v>2</v>
      </c>
      <c r="J27" s="60" t="s">
        <v>606</v>
      </c>
      <c r="K27" s="60" t="s">
        <v>608</v>
      </c>
      <c r="L27">
        <v>21.3520139106129</v>
      </c>
      <c r="M27">
        <v>129.4222052672794</v>
      </c>
      <c r="T27" t="s">
        <v>609</v>
      </c>
      <c r="U27" t="s">
        <v>610</v>
      </c>
      <c r="V27" t="s">
        <v>611</v>
      </c>
      <c r="W27" t="s">
        <v>612</v>
      </c>
      <c r="X27" t="s">
        <v>613</v>
      </c>
      <c r="Y27" t="s">
        <v>614</v>
      </c>
      <c r="Z27" t="s">
        <v>615</v>
      </c>
      <c r="AA27" t="s">
        <v>616</v>
      </c>
      <c r="AB27" t="s">
        <v>617</v>
      </c>
      <c r="AC27" t="s">
        <v>618</v>
      </c>
      <c r="AD27" t="s">
        <v>619</v>
      </c>
      <c r="AE27" t="s">
        <v>620</v>
      </c>
      <c r="AF27" t="s">
        <v>621</v>
      </c>
      <c r="AG27" t="s">
        <v>622</v>
      </c>
      <c r="AH27" t="s">
        <v>623</v>
      </c>
      <c r="AI27" t="s">
        <v>624</v>
      </c>
      <c r="AJ27" t="s">
        <v>625</v>
      </c>
      <c r="AK27" t="s">
        <v>626</v>
      </c>
      <c r="AL27" t="s">
        <v>627</v>
      </c>
      <c r="AM27" t="s">
        <v>628</v>
      </c>
      <c r="AN27" t="s">
        <v>629</v>
      </c>
      <c r="AO27" t="s">
        <v>630</v>
      </c>
      <c r="AP27" t="s">
        <v>631</v>
      </c>
      <c r="AQ27" t="s">
        <v>632</v>
      </c>
      <c r="AR27" t="s">
        <v>633</v>
      </c>
      <c r="AS27" t="s">
        <v>634</v>
      </c>
      <c r="AT27" t="s">
        <v>635</v>
      </c>
      <c r="AU27" t="s">
        <v>636</v>
      </c>
      <c r="AV27" t="s">
        <v>637</v>
      </c>
      <c r="AW27" t="s">
        <v>638</v>
      </c>
    </row>
    <row r="28" spans="1:81" x14ac:dyDescent="0.25">
      <c r="A28">
        <v>27</v>
      </c>
      <c r="B28" s="57">
        <v>44454</v>
      </c>
      <c r="C28" t="s">
        <v>483</v>
      </c>
      <c r="E28" t="s">
        <v>607</v>
      </c>
      <c r="F28" t="s">
        <v>323</v>
      </c>
      <c r="G28" t="s">
        <v>24</v>
      </c>
      <c r="H28">
        <v>384</v>
      </c>
      <c r="I28">
        <v>2</v>
      </c>
      <c r="J28" s="60">
        <v>29.98</v>
      </c>
      <c r="K28" s="60">
        <v>75</v>
      </c>
      <c r="L28">
        <v>26.638777121685056</v>
      </c>
      <c r="M28">
        <v>172.12009190076378</v>
      </c>
      <c r="T28" t="s">
        <v>642</v>
      </c>
      <c r="U28" t="s">
        <v>643</v>
      </c>
      <c r="V28" t="s">
        <v>644</v>
      </c>
      <c r="W28" t="s">
        <v>645</v>
      </c>
      <c r="X28" t="s">
        <v>646</v>
      </c>
      <c r="Y28" t="s">
        <v>647</v>
      </c>
      <c r="Z28" t="s">
        <v>648</v>
      </c>
      <c r="AA28" t="s">
        <v>649</v>
      </c>
      <c r="AB28" t="s">
        <v>650</v>
      </c>
      <c r="AC28" t="s">
        <v>651</v>
      </c>
      <c r="AD28" t="s">
        <v>652</v>
      </c>
      <c r="AE28" t="s">
        <v>653</v>
      </c>
      <c r="AF28" t="s">
        <v>654</v>
      </c>
      <c r="AG28" t="s">
        <v>655</v>
      </c>
      <c r="AH28" t="s">
        <v>656</v>
      </c>
      <c r="AI28" t="s">
        <v>657</v>
      </c>
      <c r="AJ28" t="s">
        <v>658</v>
      </c>
      <c r="AK28" t="s">
        <v>659</v>
      </c>
      <c r="AL28" t="s">
        <v>660</v>
      </c>
      <c r="AM28" t="s">
        <v>661</v>
      </c>
      <c r="AN28" t="s">
        <v>662</v>
      </c>
      <c r="AO28" t="s">
        <v>663</v>
      </c>
      <c r="AP28" t="s">
        <v>664</v>
      </c>
      <c r="AQ28" t="s">
        <v>665</v>
      </c>
      <c r="AR28" t="s">
        <v>666</v>
      </c>
      <c r="AS28" t="s">
        <v>667</v>
      </c>
      <c r="AT28" t="s">
        <v>668</v>
      </c>
      <c r="AU28" t="s">
        <v>669</v>
      </c>
      <c r="AV28" t="s">
        <v>670</v>
      </c>
      <c r="AW28" t="s">
        <v>671</v>
      </c>
      <c r="AX28" t="s">
        <v>672</v>
      </c>
      <c r="AY28" t="s">
        <v>673</v>
      </c>
      <c r="AZ28" t="s">
        <v>674</v>
      </c>
      <c r="BA28" t="s">
        <v>675</v>
      </c>
      <c r="BB28" t="s">
        <v>676</v>
      </c>
      <c r="BC28" t="s">
        <v>677</v>
      </c>
      <c r="BD28" t="s">
        <v>678</v>
      </c>
      <c r="BE28" t="s">
        <v>679</v>
      </c>
      <c r="BF28" t="s">
        <v>680</v>
      </c>
      <c r="BG28" t="s">
        <v>681</v>
      </c>
      <c r="BH28" t="s">
        <v>682</v>
      </c>
      <c r="BI28" t="s">
        <v>683</v>
      </c>
      <c r="BJ28" t="s">
        <v>684</v>
      </c>
      <c r="BK28" t="s">
        <v>685</v>
      </c>
      <c r="BL28" t="s">
        <v>686</v>
      </c>
      <c r="BM28" t="s">
        <v>687</v>
      </c>
      <c r="BN28" t="s">
        <v>688</v>
      </c>
      <c r="BO28" t="s">
        <v>689</v>
      </c>
      <c r="BP28" t="s">
        <v>690</v>
      </c>
      <c r="BQ28" t="s">
        <v>691</v>
      </c>
      <c r="BR28" t="s">
        <v>692</v>
      </c>
    </row>
    <row r="29" spans="1:81" x14ac:dyDescent="0.25">
      <c r="A29">
        <v>28</v>
      </c>
      <c r="B29" s="57">
        <v>44455</v>
      </c>
      <c r="C29" t="s">
        <v>321</v>
      </c>
      <c r="E29" t="s">
        <v>322</v>
      </c>
      <c r="F29" t="s">
        <v>323</v>
      </c>
      <c r="G29" t="s">
        <v>24</v>
      </c>
      <c r="H29">
        <v>222</v>
      </c>
      <c r="I29">
        <v>1</v>
      </c>
      <c r="J29" s="60" t="s">
        <v>693</v>
      </c>
      <c r="K29" s="60" t="s">
        <v>412</v>
      </c>
      <c r="L29">
        <v>19.42645188084342</v>
      </c>
      <c r="M29">
        <v>137.30098611904873</v>
      </c>
      <c r="T29" t="s">
        <v>694</v>
      </c>
      <c r="U29" t="s">
        <v>695</v>
      </c>
      <c r="V29" t="s">
        <v>332</v>
      </c>
      <c r="W29" t="s">
        <v>696</v>
      </c>
      <c r="X29" t="s">
        <v>697</v>
      </c>
      <c r="Y29" t="s">
        <v>698</v>
      </c>
      <c r="Z29" t="s">
        <v>699</v>
      </c>
      <c r="AA29" t="s">
        <v>700</v>
      </c>
      <c r="AB29" t="s">
        <v>701</v>
      </c>
      <c r="AC29" t="s">
        <v>702</v>
      </c>
      <c r="AD29" t="s">
        <v>703</v>
      </c>
      <c r="AE29" t="s">
        <v>704</v>
      </c>
      <c r="AF29" t="s">
        <v>705</v>
      </c>
      <c r="AG29" t="s">
        <v>706</v>
      </c>
      <c r="AH29" t="s">
        <v>707</v>
      </c>
      <c r="AI29" t="s">
        <v>708</v>
      </c>
      <c r="AJ29" t="s">
        <v>709</v>
      </c>
      <c r="AK29" t="s">
        <v>710</v>
      </c>
      <c r="AL29" t="s">
        <v>711</v>
      </c>
      <c r="AM29" t="s">
        <v>712</v>
      </c>
      <c r="AN29" t="s">
        <v>713</v>
      </c>
      <c r="AO29" t="s">
        <v>714</v>
      </c>
      <c r="AP29" t="s">
        <v>715</v>
      </c>
      <c r="AQ29" t="s">
        <v>716</v>
      </c>
      <c r="AR29" t="s">
        <v>717</v>
      </c>
      <c r="AS29" t="s">
        <v>718</v>
      </c>
      <c r="AT29" t="s">
        <v>719</v>
      </c>
      <c r="AU29" t="s">
        <v>720</v>
      </c>
      <c r="AV29" t="s">
        <v>721</v>
      </c>
      <c r="AW29" t="s">
        <v>722</v>
      </c>
      <c r="AX29" t="s">
        <v>723</v>
      </c>
      <c r="AY29" t="s">
        <v>724</v>
      </c>
      <c r="AZ29" t="s">
        <v>725</v>
      </c>
      <c r="BA29" t="s">
        <v>726</v>
      </c>
      <c r="BB29" t="s">
        <v>727</v>
      </c>
      <c r="BC29" t="s">
        <v>728</v>
      </c>
      <c r="BD29" t="s">
        <v>729</v>
      </c>
      <c r="BE29" t="s">
        <v>730</v>
      </c>
      <c r="BF29" t="s">
        <v>731</v>
      </c>
      <c r="BG29" t="s">
        <v>732</v>
      </c>
      <c r="BH29" t="s">
        <v>733</v>
      </c>
      <c r="BI29" t="s">
        <v>734</v>
      </c>
      <c r="BJ29" t="s">
        <v>735</v>
      </c>
      <c r="BK29" t="s">
        <v>736</v>
      </c>
      <c r="BL29" t="s">
        <v>737</v>
      </c>
      <c r="BM29" t="s">
        <v>738</v>
      </c>
      <c r="BN29" t="s">
        <v>739</v>
      </c>
      <c r="BO29" t="s">
        <v>740</v>
      </c>
      <c r="BP29" t="s">
        <v>741</v>
      </c>
      <c r="BQ29" t="s">
        <v>742</v>
      </c>
      <c r="BR29" t="s">
        <v>743</v>
      </c>
      <c r="BS29" t="s">
        <v>744</v>
      </c>
      <c r="BT29" t="s">
        <v>745</v>
      </c>
      <c r="BU29" t="s">
        <v>746</v>
      </c>
      <c r="BV29" t="s">
        <v>747</v>
      </c>
    </row>
    <row r="30" spans="1:81" x14ac:dyDescent="0.25">
      <c r="A30">
        <v>29</v>
      </c>
      <c r="B30" s="57">
        <v>44455</v>
      </c>
      <c r="C30" t="s">
        <v>748</v>
      </c>
      <c r="E30" t="s">
        <v>355</v>
      </c>
      <c r="F30" t="s">
        <v>323</v>
      </c>
      <c r="G30" t="s">
        <v>24</v>
      </c>
      <c r="H30">
        <v>222</v>
      </c>
      <c r="I30">
        <v>1</v>
      </c>
      <c r="J30" s="60" t="s">
        <v>693</v>
      </c>
      <c r="K30" s="60" t="s">
        <v>412</v>
      </c>
      <c r="L30">
        <v>19.577304397605793</v>
      </c>
      <c r="M30">
        <v>128.92897477032628</v>
      </c>
      <c r="T30" t="s">
        <v>303</v>
      </c>
      <c r="U30" t="s">
        <v>749</v>
      </c>
      <c r="V30" t="s">
        <v>750</v>
      </c>
      <c r="W30" t="s">
        <v>751</v>
      </c>
      <c r="X30" t="s">
        <v>752</v>
      </c>
      <c r="Y30" t="s">
        <v>753</v>
      </c>
      <c r="Z30" t="s">
        <v>754</v>
      </c>
      <c r="AA30" t="s">
        <v>755</v>
      </c>
      <c r="AB30" t="s">
        <v>756</v>
      </c>
      <c r="AC30" t="s">
        <v>757</v>
      </c>
      <c r="AD30" t="s">
        <v>758</v>
      </c>
      <c r="AE30" t="s">
        <v>759</v>
      </c>
      <c r="AF30" t="s">
        <v>760</v>
      </c>
      <c r="AG30" t="s">
        <v>761</v>
      </c>
      <c r="AH30" t="s">
        <v>762</v>
      </c>
      <c r="AI30" t="s">
        <v>763</v>
      </c>
      <c r="AJ30" t="s">
        <v>764</v>
      </c>
      <c r="AK30" t="s">
        <v>765</v>
      </c>
      <c r="AL30" t="s">
        <v>766</v>
      </c>
      <c r="AM30" t="s">
        <v>767</v>
      </c>
      <c r="AN30" t="s">
        <v>768</v>
      </c>
      <c r="AO30" t="s">
        <v>769</v>
      </c>
      <c r="AP30" t="s">
        <v>770</v>
      </c>
      <c r="AQ30" t="s">
        <v>771</v>
      </c>
      <c r="AR30" t="s">
        <v>772</v>
      </c>
      <c r="AS30" t="s">
        <v>773</v>
      </c>
      <c r="AT30" t="s">
        <v>774</v>
      </c>
      <c r="AU30" t="s">
        <v>775</v>
      </c>
      <c r="AV30" t="s">
        <v>776</v>
      </c>
      <c r="AW30" t="s">
        <v>777</v>
      </c>
    </row>
    <row r="31" spans="1:81" x14ac:dyDescent="0.25">
      <c r="A31">
        <v>30</v>
      </c>
      <c r="B31" s="57">
        <v>44455</v>
      </c>
      <c r="C31" t="s">
        <v>778</v>
      </c>
      <c r="E31" t="s">
        <v>355</v>
      </c>
      <c r="F31" t="s">
        <v>323</v>
      </c>
      <c r="G31" t="s">
        <v>24</v>
      </c>
      <c r="H31">
        <v>222</v>
      </c>
      <c r="I31">
        <v>1</v>
      </c>
      <c r="J31" s="60" t="s">
        <v>693</v>
      </c>
      <c r="K31" s="60" t="s">
        <v>412</v>
      </c>
      <c r="L31">
        <v>18.209772105125978</v>
      </c>
      <c r="M31">
        <v>135.62658384930424</v>
      </c>
      <c r="T31" t="s">
        <v>779</v>
      </c>
      <c r="U31" t="s">
        <v>780</v>
      </c>
      <c r="V31" t="s">
        <v>781</v>
      </c>
      <c r="W31" t="s">
        <v>782</v>
      </c>
      <c r="X31" t="s">
        <v>783</v>
      </c>
      <c r="Y31" t="s">
        <v>784</v>
      </c>
      <c r="Z31" t="s">
        <v>785</v>
      </c>
      <c r="AA31" t="s">
        <v>786</v>
      </c>
      <c r="AB31" t="s">
        <v>787</v>
      </c>
      <c r="AC31" t="s">
        <v>788</v>
      </c>
      <c r="AD31" t="s">
        <v>789</v>
      </c>
      <c r="AE31" t="s">
        <v>790</v>
      </c>
      <c r="AF31" t="s">
        <v>791</v>
      </c>
      <c r="AG31" t="s">
        <v>792</v>
      </c>
      <c r="AH31" t="s">
        <v>793</v>
      </c>
      <c r="AI31" t="s">
        <v>794</v>
      </c>
      <c r="AJ31" t="s">
        <v>795</v>
      </c>
      <c r="AK31" t="s">
        <v>796</v>
      </c>
      <c r="AL31" t="s">
        <v>797</v>
      </c>
      <c r="AM31" t="s">
        <v>798</v>
      </c>
      <c r="AN31" t="s">
        <v>799</v>
      </c>
      <c r="AO31" t="s">
        <v>800</v>
      </c>
      <c r="AP31" t="s">
        <v>801</v>
      </c>
      <c r="AQ31" t="s">
        <v>802</v>
      </c>
      <c r="AR31" t="s">
        <v>803</v>
      </c>
      <c r="AS31" t="s">
        <v>804</v>
      </c>
      <c r="AT31" t="s">
        <v>805</v>
      </c>
      <c r="AU31" t="s">
        <v>806</v>
      </c>
      <c r="AV31" t="s">
        <v>807</v>
      </c>
      <c r="AW31" t="s">
        <v>808</v>
      </c>
      <c r="AX31" t="s">
        <v>809</v>
      </c>
      <c r="AY31" t="s">
        <v>810</v>
      </c>
      <c r="AZ31" t="s">
        <v>811</v>
      </c>
      <c r="BA31" t="s">
        <v>812</v>
      </c>
      <c r="BB31" t="s">
        <v>813</v>
      </c>
      <c r="BC31" t="s">
        <v>814</v>
      </c>
      <c r="BD31" t="s">
        <v>815</v>
      </c>
      <c r="BE31" t="s">
        <v>816</v>
      </c>
      <c r="BF31" t="s">
        <v>817</v>
      </c>
      <c r="BG31" t="s">
        <v>818</v>
      </c>
      <c r="BH31" t="s">
        <v>819</v>
      </c>
      <c r="BI31" t="s">
        <v>820</v>
      </c>
      <c r="BJ31" t="s">
        <v>821</v>
      </c>
      <c r="BK31" t="s">
        <v>822</v>
      </c>
      <c r="BL31" t="s">
        <v>823</v>
      </c>
      <c r="BM31" t="s">
        <v>824</v>
      </c>
      <c r="BN31" t="s">
        <v>825</v>
      </c>
      <c r="BO31" t="s">
        <v>826</v>
      </c>
      <c r="BP31" t="s">
        <v>827</v>
      </c>
      <c r="BQ31" t="s">
        <v>828</v>
      </c>
      <c r="BR31" t="s">
        <v>829</v>
      </c>
      <c r="BS31" t="s">
        <v>830</v>
      </c>
      <c r="BT31" t="s">
        <v>831</v>
      </c>
      <c r="BU31" t="s">
        <v>832</v>
      </c>
      <c r="BV31" t="s">
        <v>833</v>
      </c>
      <c r="BW31" t="s">
        <v>834</v>
      </c>
      <c r="BX31" t="s">
        <v>835</v>
      </c>
      <c r="BY31" t="s">
        <v>836</v>
      </c>
      <c r="BZ31" t="s">
        <v>837</v>
      </c>
      <c r="CA31" t="s">
        <v>838</v>
      </c>
      <c r="CB31" t="s">
        <v>839</v>
      </c>
      <c r="CC31" t="s">
        <v>840</v>
      </c>
    </row>
    <row r="32" spans="1:81" x14ac:dyDescent="0.25">
      <c r="A32">
        <v>31</v>
      </c>
      <c r="B32" s="57">
        <v>44455</v>
      </c>
      <c r="C32" t="s">
        <v>778</v>
      </c>
      <c r="E32" t="s">
        <v>355</v>
      </c>
      <c r="F32" t="s">
        <v>323</v>
      </c>
      <c r="G32" t="s">
        <v>24</v>
      </c>
      <c r="H32">
        <v>222</v>
      </c>
      <c r="I32">
        <v>1</v>
      </c>
      <c r="J32" s="60" t="s">
        <v>693</v>
      </c>
      <c r="K32" s="60" t="s">
        <v>412</v>
      </c>
      <c r="L32">
        <v>18.209772105125978</v>
      </c>
      <c r="M32">
        <v>135.62658384930424</v>
      </c>
      <c r="T32" t="s">
        <v>779</v>
      </c>
      <c r="U32" t="s">
        <v>780</v>
      </c>
      <c r="V32" t="s">
        <v>781</v>
      </c>
      <c r="W32" t="s">
        <v>782</v>
      </c>
      <c r="X32" t="s">
        <v>783</v>
      </c>
      <c r="Y32" t="s">
        <v>784</v>
      </c>
      <c r="Z32" t="s">
        <v>785</v>
      </c>
      <c r="AA32" t="s">
        <v>786</v>
      </c>
      <c r="AB32" t="s">
        <v>787</v>
      </c>
      <c r="AC32" t="s">
        <v>788</v>
      </c>
      <c r="AD32" t="s">
        <v>789</v>
      </c>
      <c r="AE32" t="s">
        <v>790</v>
      </c>
      <c r="AF32" t="s">
        <v>791</v>
      </c>
      <c r="AG32" t="s">
        <v>792</v>
      </c>
      <c r="AH32" t="s">
        <v>793</v>
      </c>
      <c r="AI32" t="s">
        <v>794</v>
      </c>
      <c r="AJ32" t="s">
        <v>795</v>
      </c>
      <c r="AK32" t="s">
        <v>796</v>
      </c>
      <c r="AL32" t="s">
        <v>797</v>
      </c>
      <c r="AM32" t="s">
        <v>798</v>
      </c>
      <c r="AN32" t="s">
        <v>799</v>
      </c>
      <c r="AO32" t="s">
        <v>800</v>
      </c>
      <c r="AP32" t="s">
        <v>801</v>
      </c>
      <c r="AQ32" t="s">
        <v>802</v>
      </c>
      <c r="AR32" t="s">
        <v>803</v>
      </c>
      <c r="AS32" t="s">
        <v>804</v>
      </c>
      <c r="AT32" t="s">
        <v>805</v>
      </c>
      <c r="AU32" t="s">
        <v>806</v>
      </c>
      <c r="AV32" t="s">
        <v>807</v>
      </c>
      <c r="AW32" t="s">
        <v>808</v>
      </c>
      <c r="AX32" t="s">
        <v>809</v>
      </c>
      <c r="AY32" t="s">
        <v>810</v>
      </c>
      <c r="AZ32" t="s">
        <v>811</v>
      </c>
      <c r="BA32" t="s">
        <v>812</v>
      </c>
      <c r="BB32" t="s">
        <v>813</v>
      </c>
      <c r="BC32" t="s">
        <v>814</v>
      </c>
      <c r="BD32" t="s">
        <v>815</v>
      </c>
      <c r="BE32" t="s">
        <v>816</v>
      </c>
      <c r="BF32" t="s">
        <v>817</v>
      </c>
      <c r="BG32" t="s">
        <v>818</v>
      </c>
      <c r="BH32" t="s">
        <v>819</v>
      </c>
      <c r="BI32" t="s">
        <v>820</v>
      </c>
      <c r="BJ32" t="s">
        <v>821</v>
      </c>
      <c r="BK32" t="s">
        <v>822</v>
      </c>
      <c r="BL32" t="s">
        <v>823</v>
      </c>
      <c r="BM32" t="s">
        <v>824</v>
      </c>
      <c r="BN32" t="s">
        <v>825</v>
      </c>
      <c r="BO32" t="s">
        <v>826</v>
      </c>
      <c r="BP32" t="s">
        <v>827</v>
      </c>
      <c r="BQ32" t="s">
        <v>828</v>
      </c>
      <c r="BR32" t="s">
        <v>829</v>
      </c>
      <c r="BS32" t="s">
        <v>830</v>
      </c>
      <c r="BT32" t="s">
        <v>831</v>
      </c>
      <c r="BU32" t="s">
        <v>832</v>
      </c>
      <c r="BV32" t="s">
        <v>833</v>
      </c>
      <c r="BW32" t="s">
        <v>834</v>
      </c>
      <c r="BX32" t="s">
        <v>835</v>
      </c>
      <c r="BY32" t="s">
        <v>836</v>
      </c>
      <c r="BZ32" t="s">
        <v>837</v>
      </c>
      <c r="CA32" t="s">
        <v>838</v>
      </c>
      <c r="CB32" t="s">
        <v>839</v>
      </c>
      <c r="CC32" t="s">
        <v>840</v>
      </c>
    </row>
    <row r="33" spans="1:62" x14ac:dyDescent="0.25">
      <c r="A33">
        <v>32</v>
      </c>
      <c r="B33" s="57">
        <v>44455</v>
      </c>
      <c r="C33" t="s">
        <v>841</v>
      </c>
      <c r="E33">
        <v>1946</v>
      </c>
      <c r="F33" t="s">
        <v>285</v>
      </c>
      <c r="G33" t="s">
        <v>51</v>
      </c>
      <c r="H33">
        <v>366</v>
      </c>
      <c r="I33">
        <v>2</v>
      </c>
      <c r="J33" s="60" t="s">
        <v>693</v>
      </c>
      <c r="K33" s="60" t="s">
        <v>412</v>
      </c>
      <c r="L33">
        <v>10.401921907470845</v>
      </c>
      <c r="M33">
        <v>65.169796048564947</v>
      </c>
      <c r="T33" t="s">
        <v>842</v>
      </c>
      <c r="U33" t="s">
        <v>843</v>
      </c>
      <c r="V33" t="s">
        <v>844</v>
      </c>
      <c r="W33" t="s">
        <v>845</v>
      </c>
      <c r="X33" t="s">
        <v>846</v>
      </c>
      <c r="Y33" t="s">
        <v>847</v>
      </c>
      <c r="Z33" t="s">
        <v>848</v>
      </c>
      <c r="AA33" t="s">
        <v>849</v>
      </c>
      <c r="AB33" t="s">
        <v>850</v>
      </c>
      <c r="AC33" t="s">
        <v>851</v>
      </c>
      <c r="AD33" t="s">
        <v>852</v>
      </c>
      <c r="AE33" t="s">
        <v>853</v>
      </c>
      <c r="AF33" t="s">
        <v>854</v>
      </c>
      <c r="AG33" t="s">
        <v>855</v>
      </c>
      <c r="AH33" t="s">
        <v>856</v>
      </c>
      <c r="AI33" t="s">
        <v>857</v>
      </c>
      <c r="AJ33" t="s">
        <v>858</v>
      </c>
      <c r="AK33" t="s">
        <v>859</v>
      </c>
      <c r="AL33" t="s">
        <v>860</v>
      </c>
    </row>
    <row r="34" spans="1:62" x14ac:dyDescent="0.25">
      <c r="A34">
        <v>33</v>
      </c>
      <c r="B34" s="57">
        <v>44455</v>
      </c>
      <c r="C34" t="s">
        <v>841</v>
      </c>
      <c r="E34" t="s">
        <v>322</v>
      </c>
      <c r="F34" t="s">
        <v>285</v>
      </c>
      <c r="G34" t="s">
        <v>24</v>
      </c>
      <c r="H34">
        <v>366</v>
      </c>
      <c r="I34">
        <v>1</v>
      </c>
      <c r="J34" s="60" t="s">
        <v>693</v>
      </c>
      <c r="K34" s="60" t="s">
        <v>412</v>
      </c>
      <c r="L34">
        <v>15.523019764096778</v>
      </c>
      <c r="M34">
        <v>91.642894958698804</v>
      </c>
      <c r="T34" t="s">
        <v>861</v>
      </c>
      <c r="U34" t="s">
        <v>862</v>
      </c>
      <c r="V34" t="s">
        <v>863</v>
      </c>
      <c r="W34" t="s">
        <v>864</v>
      </c>
      <c r="X34" t="s">
        <v>865</v>
      </c>
      <c r="Y34" t="s">
        <v>866</v>
      </c>
      <c r="Z34" t="s">
        <v>867</v>
      </c>
      <c r="AA34" t="s">
        <v>868</v>
      </c>
      <c r="AB34" t="s">
        <v>869</v>
      </c>
      <c r="AC34" t="s">
        <v>870</v>
      </c>
      <c r="AD34" t="s">
        <v>871</v>
      </c>
      <c r="AE34" t="s">
        <v>872</v>
      </c>
      <c r="AF34" t="s">
        <v>873</v>
      </c>
      <c r="AG34" t="s">
        <v>874</v>
      </c>
      <c r="AH34" t="s">
        <v>875</v>
      </c>
      <c r="AI34" t="s">
        <v>876</v>
      </c>
      <c r="AJ34" t="s">
        <v>877</v>
      </c>
      <c r="AK34" t="s">
        <v>878</v>
      </c>
      <c r="AL34" t="s">
        <v>879</v>
      </c>
      <c r="AM34" t="s">
        <v>880</v>
      </c>
      <c r="AN34" t="s">
        <v>881</v>
      </c>
      <c r="AO34" t="s">
        <v>882</v>
      </c>
      <c r="AP34" t="s">
        <v>771</v>
      </c>
      <c r="AQ34" t="s">
        <v>883</v>
      </c>
      <c r="AR34" t="s">
        <v>884</v>
      </c>
      <c r="AS34" t="s">
        <v>885</v>
      </c>
      <c r="AT34" t="s">
        <v>777</v>
      </c>
      <c r="AU34" t="s">
        <v>886</v>
      </c>
      <c r="AV34" t="s">
        <v>887</v>
      </c>
      <c r="AW34" t="s">
        <v>888</v>
      </c>
      <c r="AX34" t="s">
        <v>889</v>
      </c>
      <c r="AY34" t="s">
        <v>890</v>
      </c>
      <c r="AZ34" t="s">
        <v>891</v>
      </c>
      <c r="BA34" t="s">
        <v>892</v>
      </c>
      <c r="BB34" t="s">
        <v>893</v>
      </c>
      <c r="BC34" t="s">
        <v>894</v>
      </c>
      <c r="BD34" t="s">
        <v>895</v>
      </c>
      <c r="BE34" t="s">
        <v>896</v>
      </c>
    </row>
    <row r="35" spans="1:62" x14ac:dyDescent="0.25">
      <c r="A35">
        <v>34</v>
      </c>
      <c r="B35" s="57">
        <v>44455</v>
      </c>
      <c r="C35" t="s">
        <v>321</v>
      </c>
      <c r="E35" t="s">
        <v>897</v>
      </c>
      <c r="F35" t="s">
        <v>285</v>
      </c>
      <c r="G35" t="s">
        <v>24</v>
      </c>
      <c r="H35">
        <v>222</v>
      </c>
      <c r="I35">
        <v>1</v>
      </c>
      <c r="J35" s="60" t="s">
        <v>693</v>
      </c>
      <c r="K35" s="60" t="s">
        <v>412</v>
      </c>
      <c r="L35">
        <v>18.0825827282479</v>
      </c>
      <c r="M35">
        <v>135.62658384930424</v>
      </c>
      <c r="T35" t="s">
        <v>898</v>
      </c>
      <c r="U35" t="s">
        <v>899</v>
      </c>
      <c r="V35" t="s">
        <v>900</v>
      </c>
      <c r="W35" t="s">
        <v>901</v>
      </c>
      <c r="X35" t="s">
        <v>902</v>
      </c>
      <c r="Y35" t="s">
        <v>903</v>
      </c>
      <c r="Z35" t="s">
        <v>904</v>
      </c>
      <c r="AA35" t="s">
        <v>905</v>
      </c>
      <c r="AB35" t="s">
        <v>906</v>
      </c>
      <c r="AC35" t="s">
        <v>907</v>
      </c>
      <c r="AD35" t="s">
        <v>908</v>
      </c>
      <c r="AE35" t="s">
        <v>909</v>
      </c>
      <c r="AF35" t="s">
        <v>910</v>
      </c>
      <c r="AG35" t="s">
        <v>911</v>
      </c>
      <c r="AH35" t="s">
        <v>912</v>
      </c>
      <c r="AI35" t="s">
        <v>913</v>
      </c>
      <c r="AJ35" t="s">
        <v>914</v>
      </c>
      <c r="AK35" t="s">
        <v>915</v>
      </c>
      <c r="AL35" t="s">
        <v>916</v>
      </c>
      <c r="AM35" t="s">
        <v>917</v>
      </c>
      <c r="AN35" t="s">
        <v>918</v>
      </c>
      <c r="AO35" t="s">
        <v>919</v>
      </c>
      <c r="AP35" t="s">
        <v>920</v>
      </c>
      <c r="AQ35" t="s">
        <v>921</v>
      </c>
      <c r="AR35" t="s">
        <v>922</v>
      </c>
      <c r="AS35" t="s">
        <v>923</v>
      </c>
      <c r="AT35" t="s">
        <v>924</v>
      </c>
      <c r="AU35" t="s">
        <v>925</v>
      </c>
      <c r="AV35" t="s">
        <v>926</v>
      </c>
      <c r="AW35" t="s">
        <v>927</v>
      </c>
      <c r="AX35" t="s">
        <v>928</v>
      </c>
      <c r="AY35" t="s">
        <v>929</v>
      </c>
      <c r="AZ35" t="s">
        <v>930</v>
      </c>
      <c r="BA35" t="s">
        <v>931</v>
      </c>
    </row>
    <row r="36" spans="1:62" ht="16.5" x14ac:dyDescent="0.3">
      <c r="A36">
        <v>35</v>
      </c>
      <c r="B36" s="57">
        <v>44455</v>
      </c>
      <c r="C36" t="s">
        <v>932</v>
      </c>
      <c r="D36" s="78"/>
      <c r="E36" t="s">
        <v>933</v>
      </c>
      <c r="F36" t="s">
        <v>285</v>
      </c>
      <c r="G36" t="s">
        <v>48</v>
      </c>
      <c r="H36">
        <v>146</v>
      </c>
      <c r="I36">
        <v>1</v>
      </c>
      <c r="J36" s="60" t="s">
        <v>693</v>
      </c>
      <c r="K36" s="60" t="s">
        <v>412</v>
      </c>
      <c r="L36">
        <v>32.055666829923425</v>
      </c>
      <c r="M36">
        <v>304.92090504439784</v>
      </c>
      <c r="T36" t="s">
        <v>934</v>
      </c>
      <c r="U36" t="s">
        <v>935</v>
      </c>
      <c r="V36" t="s">
        <v>936</v>
      </c>
      <c r="W36" t="s">
        <v>937</v>
      </c>
      <c r="X36" t="s">
        <v>938</v>
      </c>
      <c r="Y36" t="s">
        <v>939</v>
      </c>
      <c r="Z36" t="s">
        <v>940</v>
      </c>
      <c r="AA36" t="s">
        <v>941</v>
      </c>
      <c r="AB36" t="s">
        <v>942</v>
      </c>
      <c r="AC36" t="s">
        <v>943</v>
      </c>
      <c r="AD36" t="s">
        <v>944</v>
      </c>
      <c r="AE36" t="s">
        <v>945</v>
      </c>
      <c r="AF36" t="s">
        <v>946</v>
      </c>
      <c r="AG36" t="s">
        <v>947</v>
      </c>
      <c r="AH36" t="s">
        <v>948</v>
      </c>
      <c r="AI36" t="s">
        <v>949</v>
      </c>
      <c r="AJ36" t="s">
        <v>950</v>
      </c>
      <c r="AK36" t="s">
        <v>951</v>
      </c>
      <c r="AL36" t="s">
        <v>952</v>
      </c>
      <c r="AM36" t="s">
        <v>953</v>
      </c>
      <c r="AN36" t="s">
        <v>954</v>
      </c>
      <c r="AO36" t="s">
        <v>955</v>
      </c>
      <c r="AP36" t="s">
        <v>956</v>
      </c>
      <c r="AQ36" t="s">
        <v>957</v>
      </c>
      <c r="AR36" t="s">
        <v>958</v>
      </c>
      <c r="AS36" t="s">
        <v>959</v>
      </c>
      <c r="AT36" t="s">
        <v>960</v>
      </c>
      <c r="AU36" t="s">
        <v>961</v>
      </c>
      <c r="AV36" t="s">
        <v>962</v>
      </c>
      <c r="AW36" t="s">
        <v>963</v>
      </c>
    </row>
    <row r="37" spans="1:62" x14ac:dyDescent="0.25">
      <c r="A37">
        <v>36</v>
      </c>
      <c r="B37" s="57">
        <v>44455</v>
      </c>
      <c r="C37" t="s">
        <v>965</v>
      </c>
      <c r="E37" t="s">
        <v>966</v>
      </c>
      <c r="F37" t="s">
        <v>967</v>
      </c>
      <c r="G37" t="s">
        <v>172</v>
      </c>
      <c r="H37">
        <v>356</v>
      </c>
      <c r="I37">
        <v>2</v>
      </c>
      <c r="J37" s="60" t="s">
        <v>964</v>
      </c>
      <c r="K37" s="60" t="s">
        <v>111</v>
      </c>
      <c r="L37">
        <v>25.555365669158462</v>
      </c>
      <c r="M37">
        <v>104.59652976640062</v>
      </c>
      <c r="T37" t="s">
        <v>968</v>
      </c>
      <c r="U37" t="s">
        <v>969</v>
      </c>
      <c r="V37" t="s">
        <v>970</v>
      </c>
      <c r="W37" t="s">
        <v>971</v>
      </c>
      <c r="X37" t="s">
        <v>972</v>
      </c>
      <c r="Y37" t="s">
        <v>973</v>
      </c>
      <c r="Z37" t="s">
        <v>974</v>
      </c>
      <c r="AA37" t="s">
        <v>975</v>
      </c>
      <c r="AB37" t="s">
        <v>976</v>
      </c>
      <c r="AC37" t="s">
        <v>977</v>
      </c>
      <c r="AD37" t="s">
        <v>978</v>
      </c>
      <c r="AE37" t="s">
        <v>979</v>
      </c>
      <c r="AF37" t="s">
        <v>980</v>
      </c>
      <c r="AG37" t="s">
        <v>981</v>
      </c>
      <c r="AH37" t="s">
        <v>982</v>
      </c>
      <c r="AI37" t="s">
        <v>983</v>
      </c>
      <c r="AJ37" t="s">
        <v>984</v>
      </c>
      <c r="AK37" t="s">
        <v>985</v>
      </c>
      <c r="AL37" t="s">
        <v>986</v>
      </c>
      <c r="AM37" t="s">
        <v>905</v>
      </c>
      <c r="AN37" t="s">
        <v>360</v>
      </c>
      <c r="AO37" t="s">
        <v>987</v>
      </c>
      <c r="AP37" t="s">
        <v>988</v>
      </c>
      <c r="AQ37" t="s">
        <v>989</v>
      </c>
      <c r="AR37" t="s">
        <v>990</v>
      </c>
      <c r="AS37" t="s">
        <v>991</v>
      </c>
      <c r="AT37" t="s">
        <v>992</v>
      </c>
      <c r="AU37" t="s">
        <v>993</v>
      </c>
      <c r="AV37" t="s">
        <v>994</v>
      </c>
    </row>
    <row r="38" spans="1:62" x14ac:dyDescent="0.25">
      <c r="A38">
        <v>37</v>
      </c>
      <c r="B38" s="57">
        <v>44456</v>
      </c>
      <c r="C38" t="s">
        <v>995</v>
      </c>
      <c r="E38">
        <v>1947</v>
      </c>
      <c r="F38" t="s">
        <v>156</v>
      </c>
      <c r="G38" t="s">
        <v>52</v>
      </c>
      <c r="H38">
        <v>333</v>
      </c>
      <c r="I38">
        <v>1</v>
      </c>
      <c r="J38" s="60" t="s">
        <v>964</v>
      </c>
      <c r="K38" s="60" t="s">
        <v>111</v>
      </c>
      <c r="L38">
        <v>17.278288111234534</v>
      </c>
      <c r="M38">
        <v>70.290359575638206</v>
      </c>
      <c r="T38" t="s">
        <v>996</v>
      </c>
      <c r="U38" t="s">
        <v>997</v>
      </c>
      <c r="V38" t="s">
        <v>998</v>
      </c>
      <c r="W38" t="s">
        <v>999</v>
      </c>
      <c r="X38" t="s">
        <v>1000</v>
      </c>
      <c r="Y38" t="s">
        <v>1001</v>
      </c>
      <c r="Z38" t="s">
        <v>1002</v>
      </c>
      <c r="AA38" t="s">
        <v>1003</v>
      </c>
      <c r="AB38" t="s">
        <v>1004</v>
      </c>
      <c r="AC38" t="s">
        <v>1005</v>
      </c>
      <c r="AD38" t="s">
        <v>1006</v>
      </c>
      <c r="AE38" t="s">
        <v>1007</v>
      </c>
      <c r="AF38" t="s">
        <v>1008</v>
      </c>
      <c r="AG38" t="s">
        <v>1009</v>
      </c>
      <c r="AH38" t="s">
        <v>1010</v>
      </c>
      <c r="AI38" t="s">
        <v>1011</v>
      </c>
      <c r="AJ38" t="s">
        <v>901</v>
      </c>
      <c r="AK38" t="s">
        <v>1012</v>
      </c>
      <c r="AL38" t="s">
        <v>1013</v>
      </c>
      <c r="AM38" t="s">
        <v>1014</v>
      </c>
      <c r="AN38" t="s">
        <v>1015</v>
      </c>
      <c r="AO38" t="s">
        <v>1016</v>
      </c>
      <c r="AP38" t="s">
        <v>356</v>
      </c>
      <c r="AQ38" t="s">
        <v>1017</v>
      </c>
      <c r="AR38" t="s">
        <v>1018</v>
      </c>
      <c r="AS38" t="s">
        <v>1019</v>
      </c>
      <c r="AT38" t="s">
        <v>1020</v>
      </c>
      <c r="AU38" t="s">
        <v>1021</v>
      </c>
      <c r="AV38" t="s">
        <v>1022</v>
      </c>
      <c r="AW38" t="s">
        <v>1023</v>
      </c>
      <c r="AX38" t="s">
        <v>1024</v>
      </c>
      <c r="AY38" t="s">
        <v>1025</v>
      </c>
      <c r="AZ38" t="s">
        <v>1026</v>
      </c>
      <c r="BA38" t="s">
        <v>631</v>
      </c>
      <c r="BB38" t="s">
        <v>1027</v>
      </c>
      <c r="BC38" t="s">
        <v>1028</v>
      </c>
      <c r="BD38" t="s">
        <v>1029</v>
      </c>
      <c r="BE38" t="s">
        <v>637</v>
      </c>
      <c r="BF38" t="s">
        <v>1030</v>
      </c>
      <c r="BG38" t="s">
        <v>1031</v>
      </c>
      <c r="BH38" t="s">
        <v>1032</v>
      </c>
      <c r="BI38" t="s">
        <v>1033</v>
      </c>
      <c r="BJ38" t="s">
        <v>1034</v>
      </c>
    </row>
    <row r="39" spans="1:62" x14ac:dyDescent="0.25">
      <c r="A39">
        <v>38</v>
      </c>
      <c r="B39" s="57">
        <v>44456</v>
      </c>
      <c r="C39" t="s">
        <v>1036</v>
      </c>
      <c r="E39" t="s">
        <v>1037</v>
      </c>
      <c r="F39" t="s">
        <v>285</v>
      </c>
      <c r="G39" t="s">
        <v>1038</v>
      </c>
      <c r="H39">
        <v>632</v>
      </c>
      <c r="I39">
        <v>1</v>
      </c>
      <c r="J39" s="60" t="s">
        <v>1035</v>
      </c>
      <c r="K39" s="60" t="s">
        <v>412</v>
      </c>
      <c r="L39">
        <v>68.614540855298046</v>
      </c>
      <c r="M39">
        <v>390.96819060374708</v>
      </c>
      <c r="T39" t="s">
        <v>1039</v>
      </c>
      <c r="U39" t="s">
        <v>1040</v>
      </c>
      <c r="V39" t="s">
        <v>1041</v>
      </c>
      <c r="W39" t="s">
        <v>1042</v>
      </c>
      <c r="X39" t="s">
        <v>1043</v>
      </c>
      <c r="Y39" t="s">
        <v>1044</v>
      </c>
      <c r="Z39" t="s">
        <v>1045</v>
      </c>
      <c r="AA39" t="s">
        <v>1046</v>
      </c>
      <c r="AB39" t="s">
        <v>1047</v>
      </c>
      <c r="AC39" t="s">
        <v>1048</v>
      </c>
      <c r="AD39" t="s">
        <v>1049</v>
      </c>
      <c r="AE39" t="s">
        <v>1050</v>
      </c>
      <c r="AF39" t="s">
        <v>1051</v>
      </c>
      <c r="AG39" t="s">
        <v>1052</v>
      </c>
      <c r="AH39" t="s">
        <v>1053</v>
      </c>
      <c r="AI39" t="s">
        <v>1054</v>
      </c>
      <c r="AJ39" t="s">
        <v>1055</v>
      </c>
      <c r="AK39" t="s">
        <v>1056</v>
      </c>
      <c r="AL39" t="s">
        <v>1057</v>
      </c>
      <c r="AM39" t="s">
        <v>1058</v>
      </c>
      <c r="AN39" t="s">
        <v>1059</v>
      </c>
      <c r="AO39" t="s">
        <v>1060</v>
      </c>
      <c r="AP39" t="s">
        <v>1061</v>
      </c>
      <c r="AQ39" t="s">
        <v>1062</v>
      </c>
      <c r="AR39" t="s">
        <v>1063</v>
      </c>
      <c r="AS39" t="s">
        <v>1064</v>
      </c>
      <c r="AT39" t="s">
        <v>1065</v>
      </c>
      <c r="AU39" t="s">
        <v>1066</v>
      </c>
      <c r="AV39" t="s">
        <v>1067</v>
      </c>
      <c r="AW39" t="s">
        <v>1068</v>
      </c>
      <c r="AX39" t="s">
        <v>1069</v>
      </c>
      <c r="AY39" t="s">
        <v>1070</v>
      </c>
      <c r="AZ39" t="s">
        <v>1071</v>
      </c>
      <c r="BA39" t="s">
        <v>1072</v>
      </c>
      <c r="BB39" t="s">
        <v>1073</v>
      </c>
      <c r="BC39" t="s">
        <v>1074</v>
      </c>
      <c r="BD39" t="s">
        <v>1075</v>
      </c>
      <c r="BE39" t="s">
        <v>1076</v>
      </c>
      <c r="BF39" t="s">
        <v>1077</v>
      </c>
      <c r="BG39" t="s">
        <v>1078</v>
      </c>
      <c r="BH39" t="s">
        <v>1079</v>
      </c>
      <c r="BI39" t="s">
        <v>1080</v>
      </c>
    </row>
    <row r="40" spans="1:62" x14ac:dyDescent="0.25">
      <c r="A40">
        <v>39</v>
      </c>
      <c r="B40" s="57">
        <v>44456</v>
      </c>
      <c r="C40" t="s">
        <v>1082</v>
      </c>
      <c r="E40" t="s">
        <v>1083</v>
      </c>
      <c r="F40" t="s">
        <v>323</v>
      </c>
      <c r="G40" t="s">
        <v>1084</v>
      </c>
      <c r="H40">
        <v>528</v>
      </c>
      <c r="I40">
        <v>2</v>
      </c>
      <c r="J40" s="60" t="s">
        <v>1035</v>
      </c>
      <c r="K40" s="60" t="s">
        <v>1081</v>
      </c>
      <c r="L40">
        <v>42.910640170808875</v>
      </c>
      <c r="M40">
        <v>185.62858192762891</v>
      </c>
      <c r="T40" t="s">
        <v>1085</v>
      </c>
      <c r="U40" t="s">
        <v>1086</v>
      </c>
      <c r="V40" t="s">
        <v>1087</v>
      </c>
      <c r="W40" t="s">
        <v>1088</v>
      </c>
      <c r="X40" t="s">
        <v>1089</v>
      </c>
      <c r="Y40" t="s">
        <v>1090</v>
      </c>
      <c r="Z40" t="s">
        <v>1091</v>
      </c>
      <c r="AA40" t="s">
        <v>427</v>
      </c>
      <c r="AB40" t="s">
        <v>1092</v>
      </c>
      <c r="AC40" t="s">
        <v>1093</v>
      </c>
      <c r="AD40" t="s">
        <v>1094</v>
      </c>
      <c r="AE40" t="s">
        <v>1095</v>
      </c>
      <c r="AF40" t="s">
        <v>1096</v>
      </c>
      <c r="AG40" t="s">
        <v>535</v>
      </c>
      <c r="AH40" t="s">
        <v>1097</v>
      </c>
      <c r="AI40" t="s">
        <v>1098</v>
      </c>
      <c r="AJ40" t="s">
        <v>1099</v>
      </c>
      <c r="AK40" t="s">
        <v>1100</v>
      </c>
    </row>
    <row r="41" spans="1:62" x14ac:dyDescent="0.25">
      <c r="A41">
        <v>40</v>
      </c>
      <c r="B41" s="57">
        <v>44456</v>
      </c>
      <c r="C41" t="s">
        <v>1101</v>
      </c>
      <c r="E41" t="s">
        <v>559</v>
      </c>
      <c r="F41" t="s">
        <v>156</v>
      </c>
      <c r="G41" t="s">
        <v>178</v>
      </c>
      <c r="H41">
        <v>475</v>
      </c>
      <c r="I41">
        <v>2</v>
      </c>
      <c r="J41" s="60" t="s">
        <v>1035</v>
      </c>
      <c r="K41" s="60" t="s">
        <v>1081</v>
      </c>
      <c r="L41">
        <v>37.872962451122334</v>
      </c>
      <c r="M41">
        <v>141.40359062198689</v>
      </c>
      <c r="T41" t="s">
        <v>1102</v>
      </c>
      <c r="U41" t="s">
        <v>1103</v>
      </c>
      <c r="V41" t="s">
        <v>1104</v>
      </c>
      <c r="W41" t="s">
        <v>1105</v>
      </c>
      <c r="X41" t="s">
        <v>1106</v>
      </c>
      <c r="Y41" t="s">
        <v>1107</v>
      </c>
      <c r="Z41" t="s">
        <v>1108</v>
      </c>
      <c r="AA41" t="s">
        <v>1109</v>
      </c>
      <c r="AB41" t="s">
        <v>1110</v>
      </c>
      <c r="AC41" t="s">
        <v>1111</v>
      </c>
      <c r="AD41" t="s">
        <v>1112</v>
      </c>
      <c r="AE41" t="s">
        <v>1113</v>
      </c>
      <c r="AF41" t="s">
        <v>1114</v>
      </c>
      <c r="AG41" t="s">
        <v>1115</v>
      </c>
      <c r="AH41" t="s">
        <v>1116</v>
      </c>
      <c r="AI41" t="s">
        <v>1117</v>
      </c>
      <c r="AJ41" t="s">
        <v>1118</v>
      </c>
      <c r="AK41" t="s">
        <v>1119</v>
      </c>
      <c r="AL41" t="s">
        <v>1120</v>
      </c>
      <c r="AM41" t="s">
        <v>1121</v>
      </c>
      <c r="AN41" t="s">
        <v>1122</v>
      </c>
      <c r="AO41" t="s">
        <v>1123</v>
      </c>
      <c r="AP41" t="s">
        <v>1124</v>
      </c>
    </row>
    <row r="42" spans="1:62" x14ac:dyDescent="0.25">
      <c r="A42">
        <v>41</v>
      </c>
      <c r="B42" s="57">
        <v>44456</v>
      </c>
      <c r="C42" t="s">
        <v>264</v>
      </c>
      <c r="E42" t="s">
        <v>579</v>
      </c>
      <c r="F42" t="s">
        <v>285</v>
      </c>
      <c r="G42" t="s">
        <v>1125</v>
      </c>
      <c r="H42">
        <v>594</v>
      </c>
      <c r="I42">
        <v>2</v>
      </c>
      <c r="J42" s="60" t="s">
        <v>1035</v>
      </c>
      <c r="K42" s="60" t="s">
        <v>1081</v>
      </c>
      <c r="L42">
        <v>35.525058833717736</v>
      </c>
      <c r="M42">
        <v>166.50321288053988</v>
      </c>
      <c r="T42" t="s">
        <v>1126</v>
      </c>
      <c r="U42" t="s">
        <v>1127</v>
      </c>
      <c r="V42" t="s">
        <v>1128</v>
      </c>
      <c r="W42" t="s">
        <v>1129</v>
      </c>
      <c r="X42" t="s">
        <v>1130</v>
      </c>
      <c r="Y42" t="s">
        <v>1131</v>
      </c>
      <c r="Z42" t="s">
        <v>1132</v>
      </c>
      <c r="AA42" t="s">
        <v>1133</v>
      </c>
      <c r="AB42" t="s">
        <v>1134</v>
      </c>
      <c r="AC42" t="s">
        <v>1135</v>
      </c>
      <c r="AD42" t="s">
        <v>1136</v>
      </c>
      <c r="AE42" t="s">
        <v>1137</v>
      </c>
      <c r="AF42" t="s">
        <v>1138</v>
      </c>
      <c r="AG42" t="s">
        <v>1139</v>
      </c>
      <c r="AH42" t="s">
        <v>1140</v>
      </c>
      <c r="AI42" t="s">
        <v>1141</v>
      </c>
      <c r="AJ42" t="s">
        <v>1142</v>
      </c>
      <c r="AK42" t="s">
        <v>1143</v>
      </c>
      <c r="AL42" t="s">
        <v>1144</v>
      </c>
      <c r="AM42" t="s">
        <v>1145</v>
      </c>
      <c r="AN42" t="s">
        <v>1146</v>
      </c>
      <c r="AO42" t="s">
        <v>1147</v>
      </c>
      <c r="AP42" t="s">
        <v>1148</v>
      </c>
      <c r="AQ42" t="s">
        <v>1149</v>
      </c>
      <c r="AR42" t="s">
        <v>1150</v>
      </c>
      <c r="AS42" t="s">
        <v>1151</v>
      </c>
      <c r="AT42" t="s">
        <v>1152</v>
      </c>
      <c r="AU42" t="s">
        <v>1153</v>
      </c>
      <c r="AV42" t="s">
        <v>1154</v>
      </c>
      <c r="AW42" t="s">
        <v>1155</v>
      </c>
      <c r="AX42" t="s">
        <v>1156</v>
      </c>
      <c r="AY42" t="s">
        <v>1157</v>
      </c>
      <c r="AZ42" t="s">
        <v>1158</v>
      </c>
      <c r="BA42" t="s">
        <v>1159</v>
      </c>
      <c r="BB42" t="s">
        <v>1160</v>
      </c>
      <c r="BC42" t="s">
        <v>1161</v>
      </c>
    </row>
    <row r="43" spans="1:62" x14ac:dyDescent="0.25">
      <c r="A43">
        <v>42</v>
      </c>
      <c r="B43" s="57">
        <v>44456</v>
      </c>
      <c r="C43" t="s">
        <v>1162</v>
      </c>
      <c r="E43">
        <v>1967</v>
      </c>
      <c r="F43" t="s">
        <v>285</v>
      </c>
      <c r="G43" t="s">
        <v>1163</v>
      </c>
      <c r="I43">
        <v>2</v>
      </c>
      <c r="J43" s="60" t="s">
        <v>1035</v>
      </c>
      <c r="K43" s="60" t="s">
        <v>1081</v>
      </c>
      <c r="L43">
        <v>74.563131615485176</v>
      </c>
      <c r="M43">
        <v>201.90121735634963</v>
      </c>
      <c r="T43" t="s">
        <v>1164</v>
      </c>
      <c r="U43" t="s">
        <v>1165</v>
      </c>
      <c r="V43" t="s">
        <v>1166</v>
      </c>
      <c r="W43" t="s">
        <v>1167</v>
      </c>
      <c r="X43" t="s">
        <v>1168</v>
      </c>
      <c r="Y43" t="s">
        <v>1169</v>
      </c>
      <c r="Z43" t="s">
        <v>1170</v>
      </c>
      <c r="AA43" t="s">
        <v>1171</v>
      </c>
      <c r="AB43" t="s">
        <v>1172</v>
      </c>
      <c r="AC43" t="s">
        <v>1173</v>
      </c>
      <c r="AD43" t="s">
        <v>1174</v>
      </c>
      <c r="AE43" t="s">
        <v>1175</v>
      </c>
      <c r="AF43" t="s">
        <v>1176</v>
      </c>
      <c r="AG43" t="s">
        <v>1177</v>
      </c>
      <c r="AH43" t="s">
        <v>1178</v>
      </c>
    </row>
    <row r="44" spans="1:62" x14ac:dyDescent="0.25">
      <c r="A44">
        <v>43</v>
      </c>
      <c r="B44" s="57">
        <v>44456</v>
      </c>
      <c r="C44" t="s">
        <v>1179</v>
      </c>
      <c r="E44">
        <v>1920</v>
      </c>
      <c r="F44" t="s">
        <v>1181</v>
      </c>
      <c r="G44" t="s">
        <v>1180</v>
      </c>
      <c r="H44">
        <v>11</v>
      </c>
      <c r="I44">
        <v>1</v>
      </c>
      <c r="J44" s="60">
        <v>30.09</v>
      </c>
      <c r="K44" s="60">
        <v>88</v>
      </c>
      <c r="L44">
        <v>31.336313327327396</v>
      </c>
      <c r="M44">
        <v>404.02795855736321</v>
      </c>
      <c r="T44" t="s">
        <v>1182</v>
      </c>
      <c r="U44" t="s">
        <v>1183</v>
      </c>
      <c r="V44" t="s">
        <v>1184</v>
      </c>
      <c r="W44" t="s">
        <v>1185</v>
      </c>
      <c r="X44" t="s">
        <v>1186</v>
      </c>
      <c r="Y44" t="s">
        <v>1187</v>
      </c>
      <c r="Z44" t="s">
        <v>1188</v>
      </c>
      <c r="AA44" t="s">
        <v>1189</v>
      </c>
      <c r="AB44" t="s">
        <v>1190</v>
      </c>
    </row>
    <row r="45" spans="1:62" x14ac:dyDescent="0.25">
      <c r="A45">
        <v>44</v>
      </c>
      <c r="B45" s="57">
        <v>44456</v>
      </c>
      <c r="C45" t="s">
        <v>995</v>
      </c>
      <c r="E45">
        <v>1947</v>
      </c>
      <c r="F45" t="s">
        <v>156</v>
      </c>
      <c r="G45" t="s">
        <v>52</v>
      </c>
      <c r="H45">
        <v>333</v>
      </c>
      <c r="I45">
        <v>2</v>
      </c>
      <c r="J45" s="60">
        <v>30.09</v>
      </c>
      <c r="K45" s="60" t="s">
        <v>111</v>
      </c>
      <c r="L45">
        <v>23.139639873034081</v>
      </c>
      <c r="M45">
        <v>308.61038081447913</v>
      </c>
      <c r="T45" t="s">
        <v>1191</v>
      </c>
      <c r="U45" t="s">
        <v>1192</v>
      </c>
      <c r="V45" t="s">
        <v>1193</v>
      </c>
      <c r="W45" t="s">
        <v>473</v>
      </c>
      <c r="X45" t="s">
        <v>1194</v>
      </c>
      <c r="Y45" t="s">
        <v>388</v>
      </c>
      <c r="Z45" t="s">
        <v>1195</v>
      </c>
    </row>
    <row r="46" spans="1:62" x14ac:dyDescent="0.25">
      <c r="A46">
        <v>45</v>
      </c>
      <c r="B46" s="57">
        <v>44456</v>
      </c>
      <c r="C46" t="s">
        <v>1196</v>
      </c>
      <c r="E46">
        <v>1937</v>
      </c>
      <c r="F46" t="s">
        <v>285</v>
      </c>
      <c r="G46" t="s">
        <v>24</v>
      </c>
      <c r="H46">
        <v>222</v>
      </c>
      <c r="I46">
        <v>2</v>
      </c>
      <c r="J46" s="60">
        <v>30.09</v>
      </c>
      <c r="K46" s="60" t="s">
        <v>111</v>
      </c>
      <c r="L46">
        <v>20.365244276012138</v>
      </c>
      <c r="M46">
        <v>124.80068147222893</v>
      </c>
      <c r="T46" t="s">
        <v>1197</v>
      </c>
      <c r="U46" t="s">
        <v>1198</v>
      </c>
      <c r="V46" t="s">
        <v>288</v>
      </c>
      <c r="W46" t="s">
        <v>1199</v>
      </c>
      <c r="X46" t="s">
        <v>1200</v>
      </c>
      <c r="Y46" t="s">
        <v>1201</v>
      </c>
    </row>
    <row r="47" spans="1:62" x14ac:dyDescent="0.25">
      <c r="A47">
        <v>46</v>
      </c>
      <c r="B47" s="57">
        <v>44456</v>
      </c>
      <c r="C47" t="s">
        <v>1203</v>
      </c>
      <c r="E47">
        <v>1954</v>
      </c>
      <c r="F47" t="s">
        <v>156</v>
      </c>
      <c r="G47" t="s">
        <v>1204</v>
      </c>
      <c r="H47">
        <v>475</v>
      </c>
      <c r="I47">
        <v>2</v>
      </c>
      <c r="J47" s="60">
        <v>30.06</v>
      </c>
      <c r="K47" s="60">
        <v>87</v>
      </c>
      <c r="L47">
        <v>33.825336264898624</v>
      </c>
      <c r="M47">
        <v>154.40594208652368</v>
      </c>
      <c r="T47" t="s">
        <v>1205</v>
      </c>
      <c r="U47" t="s">
        <v>1206</v>
      </c>
      <c r="V47" t="s">
        <v>1207</v>
      </c>
      <c r="W47" t="s">
        <v>1208</v>
      </c>
      <c r="X47" t="s">
        <v>1209</v>
      </c>
      <c r="Y47" t="s">
        <v>406</v>
      </c>
      <c r="Z47" t="s">
        <v>1210</v>
      </c>
      <c r="AA47" t="s">
        <v>1211</v>
      </c>
      <c r="AB47" t="s">
        <v>1212</v>
      </c>
      <c r="AC47" t="s">
        <v>1213</v>
      </c>
      <c r="AD47" t="s">
        <v>1214</v>
      </c>
      <c r="AE47" t="s">
        <v>1215</v>
      </c>
      <c r="AF47" t="s">
        <v>1216</v>
      </c>
      <c r="AG47" t="s">
        <v>1217</v>
      </c>
      <c r="AH47" t="s">
        <v>1218</v>
      </c>
      <c r="AI47" t="s">
        <v>1219</v>
      </c>
      <c r="AJ47" t="s">
        <v>1220</v>
      </c>
      <c r="AK47" t="s">
        <v>1221</v>
      </c>
      <c r="AL47" t="s">
        <v>1222</v>
      </c>
      <c r="AM47" t="s">
        <v>1223</v>
      </c>
      <c r="AN47" t="s">
        <v>1224</v>
      </c>
      <c r="AO47" t="s">
        <v>1225</v>
      </c>
      <c r="AP47" t="s">
        <v>1226</v>
      </c>
      <c r="AQ47" t="s">
        <v>1227</v>
      </c>
      <c r="AR47" t="s">
        <v>703</v>
      </c>
      <c r="AS47" t="s">
        <v>1228</v>
      </c>
    </row>
    <row r="48" spans="1:62" x14ac:dyDescent="0.25">
      <c r="A48">
        <v>47</v>
      </c>
      <c r="B48" s="57">
        <v>44456</v>
      </c>
      <c r="C48" t="s">
        <v>400</v>
      </c>
      <c r="E48">
        <v>1958</v>
      </c>
      <c r="F48" t="s">
        <v>285</v>
      </c>
      <c r="G48" t="s">
        <v>1229</v>
      </c>
      <c r="H48">
        <v>632</v>
      </c>
      <c r="I48">
        <v>2</v>
      </c>
      <c r="J48" s="60">
        <v>30.06</v>
      </c>
      <c r="K48" s="60">
        <v>87</v>
      </c>
      <c r="L48">
        <v>53.300529871961459</v>
      </c>
      <c r="M48">
        <v>268.72255733878109</v>
      </c>
      <c r="T48" t="s">
        <v>1230</v>
      </c>
      <c r="U48" t="s">
        <v>1231</v>
      </c>
      <c r="V48" t="s">
        <v>1232</v>
      </c>
      <c r="W48" t="s">
        <v>1233</v>
      </c>
      <c r="X48" t="s">
        <v>1234</v>
      </c>
      <c r="Y48" t="s">
        <v>1235</v>
      </c>
      <c r="Z48" t="s">
        <v>1236</v>
      </c>
      <c r="AA48" t="s">
        <v>1237</v>
      </c>
      <c r="AB48" t="s">
        <v>1238</v>
      </c>
      <c r="AC48" t="s">
        <v>1239</v>
      </c>
      <c r="AD48" t="s">
        <v>1240</v>
      </c>
      <c r="AE48" t="s">
        <v>1241</v>
      </c>
      <c r="AF48" t="s">
        <v>1242</v>
      </c>
      <c r="AG48" t="s">
        <v>1243</v>
      </c>
      <c r="AH48" t="s">
        <v>1244</v>
      </c>
      <c r="AI48" t="s">
        <v>1245</v>
      </c>
      <c r="AJ48" t="s">
        <v>1246</v>
      </c>
      <c r="AK48" t="s">
        <v>1247</v>
      </c>
      <c r="AL48" t="s">
        <v>1248</v>
      </c>
    </row>
    <row r="49" spans="1:51" x14ac:dyDescent="0.25">
      <c r="A49">
        <v>48</v>
      </c>
      <c r="B49" s="57">
        <v>44456</v>
      </c>
      <c r="C49" t="s">
        <v>1249</v>
      </c>
      <c r="E49">
        <v>1947</v>
      </c>
      <c r="F49" t="s">
        <v>285</v>
      </c>
      <c r="G49" t="s">
        <v>48</v>
      </c>
      <c r="H49">
        <v>350</v>
      </c>
      <c r="I49">
        <v>2</v>
      </c>
      <c r="J49" s="60">
        <v>30.06</v>
      </c>
      <c r="K49" s="60">
        <v>87</v>
      </c>
      <c r="L49">
        <v>27.90305516801401</v>
      </c>
      <c r="M49">
        <v>163.0325138666245</v>
      </c>
      <c r="T49" t="s">
        <v>1250</v>
      </c>
      <c r="U49" t="s">
        <v>1251</v>
      </c>
      <c r="V49" t="s">
        <v>1252</v>
      </c>
      <c r="W49" t="s">
        <v>1253</v>
      </c>
      <c r="X49" t="s">
        <v>1254</v>
      </c>
      <c r="Y49" t="s">
        <v>1255</v>
      </c>
      <c r="Z49" t="s">
        <v>1256</v>
      </c>
      <c r="AA49" t="s">
        <v>1257</v>
      </c>
      <c r="AB49" t="s">
        <v>1258</v>
      </c>
      <c r="AC49" t="s">
        <v>1259</v>
      </c>
      <c r="AD49" t="s">
        <v>1260</v>
      </c>
      <c r="AE49" t="s">
        <v>1261</v>
      </c>
      <c r="AF49" t="s">
        <v>1262</v>
      </c>
      <c r="AG49" t="s">
        <v>1263</v>
      </c>
      <c r="AH49" t="s">
        <v>1264</v>
      </c>
      <c r="AI49" t="s">
        <v>1265</v>
      </c>
      <c r="AJ49" t="s">
        <v>1266</v>
      </c>
      <c r="AK49" t="s">
        <v>1267</v>
      </c>
      <c r="AL49" t="s">
        <v>1268</v>
      </c>
      <c r="AM49" t="s">
        <v>1269</v>
      </c>
      <c r="AN49" t="s">
        <v>461</v>
      </c>
      <c r="AO49" t="s">
        <v>1218</v>
      </c>
      <c r="AP49" t="s">
        <v>1172</v>
      </c>
      <c r="AQ49" t="s">
        <v>1270</v>
      </c>
      <c r="AR49" t="s">
        <v>359</v>
      </c>
    </row>
    <row r="50" spans="1:51" x14ac:dyDescent="0.25">
      <c r="A50">
        <v>49</v>
      </c>
      <c r="B50" s="57">
        <v>44456</v>
      </c>
      <c r="C50" t="s">
        <v>1203</v>
      </c>
      <c r="E50">
        <v>1954</v>
      </c>
      <c r="F50" t="s">
        <v>156</v>
      </c>
      <c r="G50" t="s">
        <v>1204</v>
      </c>
      <c r="H50">
        <v>475</v>
      </c>
      <c r="I50">
        <v>1</v>
      </c>
      <c r="J50" s="60">
        <v>30.06</v>
      </c>
      <c r="K50" s="60">
        <v>87</v>
      </c>
      <c r="L50">
        <v>34.337841359821319</v>
      </c>
      <c r="M50">
        <v>119.05961426843268</v>
      </c>
      <c r="T50" t="s">
        <v>1271</v>
      </c>
      <c r="U50" t="s">
        <v>1272</v>
      </c>
      <c r="V50" t="s">
        <v>1273</v>
      </c>
      <c r="W50" t="s">
        <v>1274</v>
      </c>
      <c r="X50" t="s">
        <v>1275</v>
      </c>
      <c r="Y50" t="s">
        <v>1276</v>
      </c>
      <c r="Z50" t="s">
        <v>1277</v>
      </c>
      <c r="AA50" t="s">
        <v>1278</v>
      </c>
      <c r="AB50" t="s">
        <v>1279</v>
      </c>
      <c r="AC50" t="s">
        <v>1280</v>
      </c>
      <c r="AD50" t="s">
        <v>1281</v>
      </c>
      <c r="AE50" t="s">
        <v>1282</v>
      </c>
      <c r="AF50" t="s">
        <v>1283</v>
      </c>
      <c r="AG50" t="s">
        <v>1284</v>
      </c>
      <c r="AH50" t="s">
        <v>1285</v>
      </c>
      <c r="AI50" t="s">
        <v>1286</v>
      </c>
      <c r="AJ50" t="s">
        <v>1287</v>
      </c>
      <c r="AK50" t="s">
        <v>1288</v>
      </c>
    </row>
    <row r="51" spans="1:51" x14ac:dyDescent="0.25">
      <c r="A51">
        <v>50</v>
      </c>
      <c r="B51" s="57">
        <v>44456</v>
      </c>
      <c r="C51" t="s">
        <v>1289</v>
      </c>
      <c r="D51" s="64"/>
      <c r="E51">
        <v>1935</v>
      </c>
      <c r="F51" t="s">
        <v>1290</v>
      </c>
      <c r="G51" t="s">
        <v>163</v>
      </c>
      <c r="H51">
        <v>246</v>
      </c>
      <c r="I51">
        <v>1</v>
      </c>
      <c r="J51" s="60">
        <v>30.06</v>
      </c>
      <c r="K51" s="60">
        <v>87</v>
      </c>
      <c r="L51">
        <v>20.549294323241842</v>
      </c>
      <c r="M51">
        <v>109.89918503930843</v>
      </c>
      <c r="T51" t="s">
        <v>287</v>
      </c>
      <c r="U51" t="s">
        <v>288</v>
      </c>
      <c r="V51" t="s">
        <v>289</v>
      </c>
      <c r="W51" t="s">
        <v>290</v>
      </c>
      <c r="X51" t="s">
        <v>291</v>
      </c>
      <c r="Y51" t="s">
        <v>292</v>
      </c>
      <c r="Z51" t="s">
        <v>293</v>
      </c>
      <c r="AA51" t="s">
        <v>294</v>
      </c>
      <c r="AB51" t="s">
        <v>295</v>
      </c>
      <c r="AC51" t="s">
        <v>296</v>
      </c>
      <c r="AD51" t="s">
        <v>297</v>
      </c>
      <c r="AE51" t="s">
        <v>298</v>
      </c>
      <c r="AF51" t="s">
        <v>299</v>
      </c>
      <c r="AG51" t="s">
        <v>300</v>
      </c>
      <c r="AH51" t="s">
        <v>301</v>
      </c>
      <c r="AI51" t="s">
        <v>302</v>
      </c>
      <c r="AJ51" t="s">
        <v>303</v>
      </c>
      <c r="AK51" t="s">
        <v>304</v>
      </c>
      <c r="AL51" t="s">
        <v>305</v>
      </c>
      <c r="AM51" t="s">
        <v>306</v>
      </c>
      <c r="AN51" t="s">
        <v>307</v>
      </c>
      <c r="AO51" t="s">
        <v>308</v>
      </c>
      <c r="AP51" t="s">
        <v>309</v>
      </c>
      <c r="AQ51" t="s">
        <v>310</v>
      </c>
      <c r="AR51" t="s">
        <v>311</v>
      </c>
      <c r="AS51" t="s">
        <v>312</v>
      </c>
      <c r="AT51" t="s">
        <v>313</v>
      </c>
      <c r="AU51" t="s">
        <v>314</v>
      </c>
      <c r="AV51" t="s">
        <v>315</v>
      </c>
      <c r="AW51" t="s">
        <v>316</v>
      </c>
      <c r="AX51" t="s">
        <v>317</v>
      </c>
      <c r="AY51" t="s">
        <v>318</v>
      </c>
    </row>
    <row r="52" spans="1:51" x14ac:dyDescent="0.25">
      <c r="A52">
        <v>51</v>
      </c>
      <c r="B52" s="57">
        <v>44456</v>
      </c>
      <c r="C52" t="s">
        <v>1322</v>
      </c>
      <c r="E52">
        <v>1982</v>
      </c>
      <c r="F52" t="s">
        <v>1323</v>
      </c>
      <c r="G52" t="s">
        <v>1202</v>
      </c>
      <c r="H52">
        <v>1487</v>
      </c>
      <c r="I52">
        <v>2</v>
      </c>
      <c r="J52" s="60">
        <v>30.06</v>
      </c>
      <c r="K52" s="60">
        <v>87</v>
      </c>
      <c r="L52">
        <v>79.564943270960157</v>
      </c>
      <c r="M52">
        <v>207.55981095323787</v>
      </c>
      <c r="T52" t="s">
        <v>1324</v>
      </c>
      <c r="U52" t="s">
        <v>1325</v>
      </c>
      <c r="V52" t="s">
        <v>1326</v>
      </c>
      <c r="W52" t="s">
        <v>1327</v>
      </c>
      <c r="X52" t="s">
        <v>1328</v>
      </c>
      <c r="Y52" t="s">
        <v>1329</v>
      </c>
      <c r="Z52" t="s">
        <v>1330</v>
      </c>
      <c r="AA52" t="s">
        <v>1331</v>
      </c>
      <c r="AB52" t="s">
        <v>1332</v>
      </c>
      <c r="AC52" t="s">
        <v>1333</v>
      </c>
      <c r="AD52" t="s">
        <v>1334</v>
      </c>
      <c r="AE52" t="s">
        <v>1335</v>
      </c>
      <c r="AF52" t="s">
        <v>1336</v>
      </c>
      <c r="AG52" t="s">
        <v>1337</v>
      </c>
      <c r="AH52" t="s">
        <v>1338</v>
      </c>
      <c r="AI52" t="s">
        <v>1339</v>
      </c>
      <c r="AJ52" t="s">
        <v>1218</v>
      </c>
      <c r="AK52" t="s">
        <v>1340</v>
      </c>
      <c r="AL52" t="s">
        <v>1341</v>
      </c>
      <c r="AM52" t="s">
        <v>1342</v>
      </c>
    </row>
    <row r="53" spans="1:51" x14ac:dyDescent="0.25">
      <c r="A53">
        <v>52</v>
      </c>
      <c r="B53" s="57">
        <v>44456</v>
      </c>
      <c r="C53" t="s">
        <v>483</v>
      </c>
      <c r="E53" t="s">
        <v>343</v>
      </c>
      <c r="F53" t="s">
        <v>285</v>
      </c>
      <c r="G53" t="s">
        <v>51</v>
      </c>
      <c r="H53">
        <v>380</v>
      </c>
      <c r="I53">
        <v>2</v>
      </c>
      <c r="J53" s="60" t="s">
        <v>1344</v>
      </c>
      <c r="K53" s="60" t="s">
        <v>1343</v>
      </c>
      <c r="L53">
        <v>16.588670658647597</v>
      </c>
      <c r="M53">
        <v>66.787112577086177</v>
      </c>
      <c r="T53" t="s">
        <v>1345</v>
      </c>
      <c r="U53" t="s">
        <v>1346</v>
      </c>
      <c r="V53" t="s">
        <v>1347</v>
      </c>
      <c r="W53" t="s">
        <v>1348</v>
      </c>
      <c r="X53" t="s">
        <v>1349</v>
      </c>
      <c r="Y53" t="s">
        <v>1350</v>
      </c>
      <c r="Z53" t="s">
        <v>1351</v>
      </c>
      <c r="AA53" t="s">
        <v>1352</v>
      </c>
      <c r="AB53" t="s">
        <v>1353</v>
      </c>
      <c r="AC53" t="s">
        <v>1354</v>
      </c>
      <c r="AD53" t="s">
        <v>1355</v>
      </c>
      <c r="AE53" t="s">
        <v>1356</v>
      </c>
      <c r="AF53" t="s">
        <v>1357</v>
      </c>
      <c r="AG53" t="s">
        <v>1358</v>
      </c>
      <c r="AH53" t="s">
        <v>1359</v>
      </c>
      <c r="AI53" t="s">
        <v>1360</v>
      </c>
      <c r="AJ53" t="s">
        <v>1361</v>
      </c>
      <c r="AK53" t="s">
        <v>1362</v>
      </c>
      <c r="AL53" t="s">
        <v>1363</v>
      </c>
    </row>
    <row r="54" spans="1:51" x14ac:dyDescent="0.25">
      <c r="A54">
        <v>53</v>
      </c>
      <c r="B54" s="57">
        <v>44456</v>
      </c>
      <c r="C54" t="s">
        <v>1416</v>
      </c>
      <c r="D54" s="64"/>
      <c r="E54">
        <v>1936</v>
      </c>
      <c r="F54" t="s">
        <v>457</v>
      </c>
      <c r="G54" t="s">
        <v>1364</v>
      </c>
      <c r="H54">
        <v>252</v>
      </c>
      <c r="I54">
        <v>2</v>
      </c>
      <c r="J54" s="60" t="s">
        <v>1344</v>
      </c>
      <c r="K54" s="60" t="s">
        <v>1343</v>
      </c>
      <c r="L54">
        <v>14.63290408951727</v>
      </c>
      <c r="M54">
        <v>61.558828511708214</v>
      </c>
      <c r="T54" t="s">
        <v>1365</v>
      </c>
      <c r="U54" t="s">
        <v>1366</v>
      </c>
      <c r="V54" t="s">
        <v>1367</v>
      </c>
      <c r="W54" t="s">
        <v>1368</v>
      </c>
      <c r="X54" t="s">
        <v>1369</v>
      </c>
      <c r="Y54" t="s">
        <v>1370</v>
      </c>
      <c r="Z54" t="s">
        <v>1371</v>
      </c>
      <c r="AA54" t="s">
        <v>1372</v>
      </c>
      <c r="AB54" t="s">
        <v>1373</v>
      </c>
      <c r="AC54" t="s">
        <v>1374</v>
      </c>
      <c r="AD54" t="s">
        <v>1375</v>
      </c>
      <c r="AE54" t="s">
        <v>1376</v>
      </c>
      <c r="AF54" t="s">
        <v>1377</v>
      </c>
      <c r="AG54" t="s">
        <v>1378</v>
      </c>
      <c r="AH54" t="s">
        <v>1379</v>
      </c>
      <c r="AI54" t="s">
        <v>1380</v>
      </c>
      <c r="AJ54" t="s">
        <v>1381</v>
      </c>
      <c r="AK54" t="s">
        <v>1382</v>
      </c>
      <c r="AL54" t="s">
        <v>1383</v>
      </c>
      <c r="AM54" t="s">
        <v>1023</v>
      </c>
      <c r="AN54" t="s">
        <v>1384</v>
      </c>
      <c r="AO54" t="s">
        <v>1385</v>
      </c>
      <c r="AP54" t="s">
        <v>1025</v>
      </c>
      <c r="AQ54" t="s">
        <v>1386</v>
      </c>
      <c r="AR54" t="s">
        <v>1031</v>
      </c>
      <c r="AS54" t="s">
        <v>1032</v>
      </c>
    </row>
    <row r="55" spans="1:51" x14ac:dyDescent="0.25">
      <c r="A55">
        <v>54</v>
      </c>
      <c r="B55" s="57">
        <v>44456</v>
      </c>
      <c r="C55" t="s">
        <v>1387</v>
      </c>
      <c r="E55">
        <v>1952</v>
      </c>
      <c r="F55" t="s">
        <v>1388</v>
      </c>
      <c r="G55" t="s">
        <v>1389</v>
      </c>
      <c r="H55">
        <v>450</v>
      </c>
      <c r="I55">
        <v>2</v>
      </c>
      <c r="J55" s="60" t="s">
        <v>1344</v>
      </c>
      <c r="K55" s="60" t="s">
        <v>1343</v>
      </c>
      <c r="L55">
        <v>31.025212642830496</v>
      </c>
      <c r="M55">
        <v>124.90960922324356</v>
      </c>
      <c r="T55" t="s">
        <v>1390</v>
      </c>
      <c r="U55" t="s">
        <v>1391</v>
      </c>
      <c r="V55" t="s">
        <v>1392</v>
      </c>
      <c r="W55" t="s">
        <v>1393</v>
      </c>
      <c r="X55" t="s">
        <v>1394</v>
      </c>
      <c r="Y55" t="s">
        <v>1395</v>
      </c>
      <c r="Z55" t="s">
        <v>1396</v>
      </c>
      <c r="AA55" t="s">
        <v>1397</v>
      </c>
      <c r="AB55" t="s">
        <v>1398</v>
      </c>
      <c r="AC55" t="s">
        <v>1399</v>
      </c>
      <c r="AD55" t="s">
        <v>1400</v>
      </c>
      <c r="AE55" t="s">
        <v>1401</v>
      </c>
      <c r="AF55" t="s">
        <v>1402</v>
      </c>
      <c r="AG55" t="s">
        <v>1403</v>
      </c>
      <c r="AH55" t="s">
        <v>1404</v>
      </c>
      <c r="AI55" t="s">
        <v>1405</v>
      </c>
      <c r="AJ55" t="s">
        <v>1406</v>
      </c>
      <c r="AK55" t="s">
        <v>1407</v>
      </c>
      <c r="AL55" t="s">
        <v>1408</v>
      </c>
      <c r="AM55" t="s">
        <v>1409</v>
      </c>
      <c r="AN55" t="s">
        <v>1410</v>
      </c>
      <c r="AO55" t="s">
        <v>1411</v>
      </c>
      <c r="AP55" t="s">
        <v>1412</v>
      </c>
      <c r="AQ55" t="s">
        <v>1413</v>
      </c>
      <c r="AR55" t="s">
        <v>1414</v>
      </c>
      <c r="AS55" t="s">
        <v>1415</v>
      </c>
    </row>
    <row r="56" spans="1:51" x14ac:dyDescent="0.25">
      <c r="A56">
        <v>55</v>
      </c>
      <c r="B56" s="57">
        <v>44456</v>
      </c>
      <c r="C56" t="s">
        <v>1417</v>
      </c>
      <c r="E56">
        <v>1952</v>
      </c>
      <c r="F56" t="s">
        <v>1388</v>
      </c>
      <c r="G56" t="s">
        <v>1389</v>
      </c>
      <c r="H56">
        <v>450</v>
      </c>
      <c r="I56">
        <v>2</v>
      </c>
      <c r="J56" s="60" t="s">
        <v>1344</v>
      </c>
      <c r="K56" s="60" t="s">
        <v>1343</v>
      </c>
      <c r="L56">
        <v>40.976844141176379</v>
      </c>
      <c r="M56">
        <v>117.00393775341803</v>
      </c>
      <c r="T56" t="s">
        <v>1418</v>
      </c>
      <c r="U56" t="s">
        <v>1419</v>
      </c>
      <c r="V56" t="s">
        <v>1420</v>
      </c>
      <c r="W56" t="s">
        <v>1421</v>
      </c>
      <c r="X56" t="s">
        <v>1422</v>
      </c>
      <c r="Y56" t="s">
        <v>1423</v>
      </c>
      <c r="Z56" t="s">
        <v>1424</v>
      </c>
      <c r="AA56" t="s">
        <v>1425</v>
      </c>
      <c r="AB56" t="s">
        <v>1426</v>
      </c>
      <c r="AC56" t="s">
        <v>1427</v>
      </c>
      <c r="AD56" t="s">
        <v>1428</v>
      </c>
      <c r="AE56" t="s">
        <v>1429</v>
      </c>
      <c r="AF56" t="s">
        <v>1430</v>
      </c>
      <c r="AG56" t="s">
        <v>1431</v>
      </c>
      <c r="AH56" t="s">
        <v>1432</v>
      </c>
    </row>
    <row r="57" spans="1:51" x14ac:dyDescent="0.25">
      <c r="A57">
        <v>56</v>
      </c>
      <c r="B57" s="57">
        <v>44457</v>
      </c>
      <c r="C57" t="s">
        <v>1036</v>
      </c>
      <c r="E57" t="s">
        <v>355</v>
      </c>
      <c r="F57" t="s">
        <v>285</v>
      </c>
      <c r="G57" t="s">
        <v>25</v>
      </c>
      <c r="H57">
        <v>295</v>
      </c>
      <c r="I57">
        <v>2</v>
      </c>
      <c r="J57" s="60" t="s">
        <v>1433</v>
      </c>
      <c r="K57" s="60" t="s">
        <v>1434</v>
      </c>
      <c r="L57">
        <v>33.52084778438072</v>
      </c>
      <c r="M57">
        <v>186.56728552496565</v>
      </c>
      <c r="T57" t="s">
        <v>1435</v>
      </c>
      <c r="U57" t="s">
        <v>1436</v>
      </c>
      <c r="V57" t="s">
        <v>1437</v>
      </c>
      <c r="W57" t="s">
        <v>1438</v>
      </c>
      <c r="X57" t="s">
        <v>1439</v>
      </c>
      <c r="Y57" t="s">
        <v>1440</v>
      </c>
      <c r="Z57" t="s">
        <v>1441</v>
      </c>
      <c r="AA57" t="s">
        <v>1442</v>
      </c>
      <c r="AB57" t="s">
        <v>1443</v>
      </c>
      <c r="AC57" t="s">
        <v>1444</v>
      </c>
      <c r="AD57" t="s">
        <v>1445</v>
      </c>
      <c r="AE57" t="s">
        <v>1446</v>
      </c>
      <c r="AF57" t="s">
        <v>1447</v>
      </c>
      <c r="AG57" t="s">
        <v>1448</v>
      </c>
      <c r="AH57" t="s">
        <v>1449</v>
      </c>
      <c r="AI57" t="s">
        <v>1450</v>
      </c>
      <c r="AJ57" t="s">
        <v>1451</v>
      </c>
      <c r="AK57" t="s">
        <v>1452</v>
      </c>
      <c r="AL57" t="s">
        <v>1453</v>
      </c>
      <c r="AM57" t="s">
        <v>1454</v>
      </c>
      <c r="AN57" t="s">
        <v>1455</v>
      </c>
      <c r="AO57" t="s">
        <v>1456</v>
      </c>
      <c r="AP57" t="s">
        <v>1457</v>
      </c>
      <c r="AQ57" t="s">
        <v>1458</v>
      </c>
    </row>
    <row r="58" spans="1:51" x14ac:dyDescent="0.25">
      <c r="A58">
        <v>57</v>
      </c>
      <c r="B58" s="57">
        <v>44457</v>
      </c>
      <c r="C58" t="s">
        <v>1036</v>
      </c>
      <c r="E58" t="s">
        <v>1037</v>
      </c>
      <c r="F58" t="s">
        <v>285</v>
      </c>
      <c r="G58" t="s">
        <v>1038</v>
      </c>
      <c r="H58">
        <v>632</v>
      </c>
      <c r="I58">
        <v>1</v>
      </c>
      <c r="J58" s="60" t="s">
        <v>1035</v>
      </c>
      <c r="K58" s="60" t="s">
        <v>412</v>
      </c>
      <c r="L58">
        <v>65.062128986073503</v>
      </c>
      <c r="M58">
        <v>322.62822232748232</v>
      </c>
      <c r="T58" t="s">
        <v>1459</v>
      </c>
      <c r="U58" t="s">
        <v>1460</v>
      </c>
      <c r="V58" t="s">
        <v>1653</v>
      </c>
      <c r="W58" t="s">
        <v>1461</v>
      </c>
      <c r="X58" t="s">
        <v>1462</v>
      </c>
      <c r="Y58" t="s">
        <v>1463</v>
      </c>
      <c r="Z58" t="s">
        <v>1464</v>
      </c>
      <c r="AA58" t="s">
        <v>1465</v>
      </c>
      <c r="AB58" t="s">
        <v>1466</v>
      </c>
      <c r="AC58" t="s">
        <v>1467</v>
      </c>
      <c r="AD58" t="s">
        <v>1058</v>
      </c>
      <c r="AE58" t="s">
        <v>1468</v>
      </c>
      <c r="AF58" t="s">
        <v>1469</v>
      </c>
      <c r="AG58" t="s">
        <v>1470</v>
      </c>
      <c r="AH58" t="s">
        <v>1471</v>
      </c>
      <c r="AI58" t="s">
        <v>1472</v>
      </c>
      <c r="AJ58" t="s">
        <v>1473</v>
      </c>
      <c r="AK58" t="s">
        <v>1291</v>
      </c>
      <c r="AL58" t="s">
        <v>1474</v>
      </c>
      <c r="AM58" t="s">
        <v>1475</v>
      </c>
      <c r="AN58" t="s">
        <v>1476</v>
      </c>
    </row>
    <row r="59" spans="1:51" x14ac:dyDescent="0.25">
      <c r="A59">
        <v>58</v>
      </c>
      <c r="B59" s="57">
        <v>44457</v>
      </c>
      <c r="C59" t="s">
        <v>1477</v>
      </c>
      <c r="D59" s="64"/>
      <c r="E59" t="s">
        <v>1478</v>
      </c>
      <c r="F59" t="s">
        <v>285</v>
      </c>
      <c r="G59" t="s">
        <v>49</v>
      </c>
      <c r="H59">
        <v>190</v>
      </c>
      <c r="I59">
        <v>1</v>
      </c>
      <c r="J59" s="60" t="s">
        <v>1035</v>
      </c>
      <c r="K59" s="60" t="s">
        <v>412</v>
      </c>
      <c r="L59">
        <v>11.5404319287515</v>
      </c>
      <c r="M59">
        <v>76.82301792787743</v>
      </c>
      <c r="T59" t="s">
        <v>1479</v>
      </c>
      <c r="U59" t="s">
        <v>1480</v>
      </c>
      <c r="V59" t="s">
        <v>1481</v>
      </c>
      <c r="W59" t="s">
        <v>1482</v>
      </c>
      <c r="X59" t="s">
        <v>1483</v>
      </c>
      <c r="Y59" t="s">
        <v>1484</v>
      </c>
    </row>
    <row r="60" spans="1:51" x14ac:dyDescent="0.25">
      <c r="A60">
        <v>59</v>
      </c>
      <c r="B60" s="57">
        <v>44457</v>
      </c>
      <c r="C60" t="s">
        <v>1485</v>
      </c>
      <c r="E60" t="s">
        <v>1486</v>
      </c>
      <c r="F60" t="s">
        <v>366</v>
      </c>
      <c r="G60" t="s">
        <v>53</v>
      </c>
      <c r="H60">
        <v>155</v>
      </c>
      <c r="I60">
        <v>1</v>
      </c>
      <c r="J60" s="60" t="s">
        <v>1035</v>
      </c>
      <c r="K60" s="60" t="s">
        <v>412</v>
      </c>
      <c r="L60">
        <v>35.234626564780839</v>
      </c>
      <c r="M60">
        <v>200.23559341792645</v>
      </c>
      <c r="T60" t="s">
        <v>1487</v>
      </c>
      <c r="U60" t="s">
        <v>1488</v>
      </c>
      <c r="V60" t="s">
        <v>1489</v>
      </c>
      <c r="W60" t="s">
        <v>1490</v>
      </c>
      <c r="X60" t="s">
        <v>1491</v>
      </c>
      <c r="Y60" t="s">
        <v>1492</v>
      </c>
      <c r="Z60" t="s">
        <v>486</v>
      </c>
      <c r="AA60" t="s">
        <v>353</v>
      </c>
      <c r="AB60" t="s">
        <v>463</v>
      </c>
      <c r="AC60" t="s">
        <v>386</v>
      </c>
      <c r="AD60" t="s">
        <v>1493</v>
      </c>
      <c r="AE60" t="s">
        <v>1494</v>
      </c>
      <c r="AF60" t="s">
        <v>1495</v>
      </c>
      <c r="AG60" t="s">
        <v>1496</v>
      </c>
    </row>
    <row r="61" spans="1:51" x14ac:dyDescent="0.25">
      <c r="A61">
        <v>60</v>
      </c>
      <c r="B61" s="57">
        <v>44457</v>
      </c>
      <c r="C61" t="s">
        <v>1101</v>
      </c>
      <c r="E61" t="s">
        <v>559</v>
      </c>
      <c r="F61" t="s">
        <v>156</v>
      </c>
      <c r="G61" t="s">
        <v>178</v>
      </c>
      <c r="H61">
        <v>475</v>
      </c>
      <c r="I61">
        <v>2</v>
      </c>
      <c r="J61" s="60" t="s">
        <v>1035</v>
      </c>
      <c r="K61" s="60" t="s">
        <v>1081</v>
      </c>
      <c r="L61">
        <v>40.228725160133322</v>
      </c>
      <c r="M61">
        <v>158.86082403210872</v>
      </c>
      <c r="T61" t="s">
        <v>1497</v>
      </c>
      <c r="U61" t="s">
        <v>1498</v>
      </c>
      <c r="V61" t="s">
        <v>1499</v>
      </c>
      <c r="W61" t="s">
        <v>1500</v>
      </c>
      <c r="X61" t="s">
        <v>1501</v>
      </c>
      <c r="Y61" t="s">
        <v>1502</v>
      </c>
      <c r="Z61" t="s">
        <v>1503</v>
      </c>
      <c r="AA61" t="s">
        <v>1504</v>
      </c>
      <c r="AB61" t="s">
        <v>1505</v>
      </c>
      <c r="AC61" t="s">
        <v>1506</v>
      </c>
    </row>
    <row r="62" spans="1:51" x14ac:dyDescent="0.25">
      <c r="A62">
        <v>61</v>
      </c>
      <c r="B62" s="57">
        <v>44457</v>
      </c>
      <c r="C62" t="s">
        <v>1507</v>
      </c>
      <c r="E62" t="s">
        <v>1508</v>
      </c>
      <c r="F62" t="s">
        <v>285</v>
      </c>
      <c r="G62" t="s">
        <v>51</v>
      </c>
      <c r="H62">
        <v>366</v>
      </c>
      <c r="I62">
        <v>1</v>
      </c>
      <c r="J62" s="60" t="s">
        <v>1035</v>
      </c>
      <c r="K62" s="60" t="s">
        <v>1081</v>
      </c>
      <c r="L62">
        <v>12.279830634961328</v>
      </c>
      <c r="M62">
        <v>70.558002126847583</v>
      </c>
      <c r="T62" t="s">
        <v>1509</v>
      </c>
      <c r="U62" t="s">
        <v>1510</v>
      </c>
      <c r="V62" t="s">
        <v>1511</v>
      </c>
      <c r="W62" t="s">
        <v>1483</v>
      </c>
      <c r="X62" t="s">
        <v>1482</v>
      </c>
      <c r="Y62" t="s">
        <v>1512</v>
      </c>
      <c r="Z62" t="s">
        <v>1513</v>
      </c>
      <c r="AA62" t="s">
        <v>1514</v>
      </c>
      <c r="AB62" t="s">
        <v>1515</v>
      </c>
      <c r="AC62" t="s">
        <v>683</v>
      </c>
      <c r="AD62" t="s">
        <v>1385</v>
      </c>
      <c r="AE62" t="s">
        <v>1516</v>
      </c>
      <c r="AF62" t="s">
        <v>1517</v>
      </c>
      <c r="AG62" t="s">
        <v>1518</v>
      </c>
    </row>
    <row r="63" spans="1:51" x14ac:dyDescent="0.25">
      <c r="A63">
        <v>62</v>
      </c>
      <c r="B63" s="57">
        <v>44457</v>
      </c>
      <c r="C63" t="s">
        <v>389</v>
      </c>
      <c r="D63" s="64"/>
      <c r="E63" t="s">
        <v>343</v>
      </c>
      <c r="F63" t="s">
        <v>285</v>
      </c>
      <c r="G63" t="s">
        <v>24</v>
      </c>
      <c r="H63">
        <v>384</v>
      </c>
      <c r="I63">
        <v>1</v>
      </c>
      <c r="J63" s="60" t="s">
        <v>1035</v>
      </c>
      <c r="K63" s="60" t="s">
        <v>1081</v>
      </c>
      <c r="L63">
        <v>19.402132403238902</v>
      </c>
      <c r="M63">
        <v>83.416323160344604</v>
      </c>
      <c r="T63" t="s">
        <v>1519</v>
      </c>
      <c r="U63" t="s">
        <v>1520</v>
      </c>
    </row>
    <row r="64" spans="1:51" x14ac:dyDescent="0.25">
      <c r="A64">
        <v>63</v>
      </c>
      <c r="B64" s="57">
        <v>44457</v>
      </c>
      <c r="C64" t="s">
        <v>1521</v>
      </c>
      <c r="D64" s="64"/>
      <c r="E64" t="s">
        <v>355</v>
      </c>
      <c r="F64" t="s">
        <v>1290</v>
      </c>
      <c r="G64" t="s">
        <v>164</v>
      </c>
      <c r="H64">
        <v>268</v>
      </c>
      <c r="I64">
        <v>1</v>
      </c>
      <c r="J64" s="60" t="s">
        <v>1035</v>
      </c>
      <c r="K64" s="60" t="s">
        <v>1081</v>
      </c>
      <c r="L64">
        <v>34.8992786645601</v>
      </c>
      <c r="M64">
        <v>132.49767389010444</v>
      </c>
      <c r="T64" t="s">
        <v>1522</v>
      </c>
      <c r="U64" t="s">
        <v>1523</v>
      </c>
      <c r="V64" t="s">
        <v>1524</v>
      </c>
      <c r="W64" t="s">
        <v>1525</v>
      </c>
      <c r="X64" t="s">
        <v>1436</v>
      </c>
      <c r="Y64" t="s">
        <v>1526</v>
      </c>
      <c r="Z64" t="s">
        <v>1527</v>
      </c>
      <c r="AA64" t="s">
        <v>1528</v>
      </c>
      <c r="AB64" t="s">
        <v>1529</v>
      </c>
      <c r="AC64" t="s">
        <v>1530</v>
      </c>
      <c r="AD64" t="s">
        <v>1531</v>
      </c>
      <c r="AE64" t="s">
        <v>1532</v>
      </c>
      <c r="AF64" t="s">
        <v>1533</v>
      </c>
    </row>
    <row r="65" spans="1:35" x14ac:dyDescent="0.25">
      <c r="A65">
        <v>64</v>
      </c>
      <c r="B65" s="57">
        <v>44457</v>
      </c>
      <c r="C65" t="s">
        <v>1534</v>
      </c>
      <c r="D65" s="64"/>
      <c r="E65" t="s">
        <v>322</v>
      </c>
      <c r="F65" t="s">
        <v>285</v>
      </c>
      <c r="G65" t="s">
        <v>24</v>
      </c>
      <c r="H65">
        <v>222</v>
      </c>
      <c r="I65">
        <v>1</v>
      </c>
      <c r="J65" s="60" t="s">
        <v>1035</v>
      </c>
      <c r="K65" s="60" t="s">
        <v>1081</v>
      </c>
      <c r="L65">
        <v>26.504786442500532</v>
      </c>
      <c r="M65">
        <v>136.80276998296515</v>
      </c>
      <c r="T65" t="s">
        <v>1535</v>
      </c>
      <c r="U65" t="s">
        <v>1536</v>
      </c>
      <c r="V65" t="s">
        <v>1537</v>
      </c>
      <c r="W65" t="s">
        <v>1538</v>
      </c>
      <c r="X65" t="s">
        <v>1539</v>
      </c>
      <c r="Y65" t="s">
        <v>1540</v>
      </c>
      <c r="Z65" t="s">
        <v>1541</v>
      </c>
      <c r="AA65" t="s">
        <v>1542</v>
      </c>
      <c r="AB65" t="s">
        <v>1543</v>
      </c>
      <c r="AC65" t="s">
        <v>439</v>
      </c>
      <c r="AD65" t="s">
        <v>438</v>
      </c>
      <c r="AE65" t="s">
        <v>1544</v>
      </c>
      <c r="AF65" t="s">
        <v>331</v>
      </c>
      <c r="AG65" t="s">
        <v>1112</v>
      </c>
      <c r="AH65" t="s">
        <v>1545</v>
      </c>
    </row>
    <row r="66" spans="1:35" x14ac:dyDescent="0.25">
      <c r="A66">
        <v>65</v>
      </c>
      <c r="B66" s="57">
        <v>44457</v>
      </c>
      <c r="C66" t="s">
        <v>1546</v>
      </c>
      <c r="D66" s="64"/>
      <c r="E66" t="s">
        <v>1508</v>
      </c>
      <c r="F66" t="s">
        <v>156</v>
      </c>
      <c r="G66" t="s">
        <v>52</v>
      </c>
      <c r="H66">
        <v>333</v>
      </c>
      <c r="I66">
        <v>2</v>
      </c>
      <c r="J66" s="60" t="s">
        <v>1035</v>
      </c>
      <c r="K66" s="60">
        <v>86</v>
      </c>
      <c r="L66">
        <v>19.584238687441957</v>
      </c>
      <c r="M66">
        <v>67.283176553160601</v>
      </c>
      <c r="T66" t="s">
        <v>1547</v>
      </c>
      <c r="U66" t="s">
        <v>1548</v>
      </c>
      <c r="V66" t="s">
        <v>1549</v>
      </c>
      <c r="W66" t="s">
        <v>1550</v>
      </c>
      <c r="X66" t="s">
        <v>1551</v>
      </c>
      <c r="Y66" t="s">
        <v>1552</v>
      </c>
      <c r="Z66" t="s">
        <v>1553</v>
      </c>
      <c r="AA66" t="s">
        <v>984</v>
      </c>
      <c r="AB66" t="s">
        <v>1554</v>
      </c>
      <c r="AC66" t="s">
        <v>1555</v>
      </c>
    </row>
    <row r="67" spans="1:35" x14ac:dyDescent="0.25">
      <c r="A67">
        <v>66</v>
      </c>
      <c r="B67" s="57">
        <v>44457</v>
      </c>
      <c r="C67" t="s">
        <v>1101</v>
      </c>
      <c r="E67" t="s">
        <v>547</v>
      </c>
      <c r="F67" t="s">
        <v>156</v>
      </c>
      <c r="G67" t="s">
        <v>52</v>
      </c>
      <c r="H67">
        <v>333</v>
      </c>
      <c r="I67">
        <v>2</v>
      </c>
      <c r="J67" s="60" t="s">
        <v>1035</v>
      </c>
      <c r="K67" s="60" t="s">
        <v>1556</v>
      </c>
      <c r="L67">
        <v>24.323624449802907</v>
      </c>
      <c r="M67">
        <v>82.574807587969829</v>
      </c>
      <c r="T67" t="s">
        <v>1557</v>
      </c>
      <c r="U67" t="s">
        <v>1558</v>
      </c>
      <c r="V67" t="s">
        <v>1559</v>
      </c>
      <c r="W67" t="s">
        <v>1560</v>
      </c>
      <c r="X67" t="s">
        <v>1561</v>
      </c>
      <c r="Y67" t="s">
        <v>1562</v>
      </c>
      <c r="Z67" t="s">
        <v>1563</v>
      </c>
      <c r="AA67" t="s">
        <v>1564</v>
      </c>
      <c r="AB67" t="s">
        <v>1552</v>
      </c>
    </row>
    <row r="68" spans="1:35" x14ac:dyDescent="0.25">
      <c r="A68">
        <v>67</v>
      </c>
      <c r="B68" s="57">
        <v>44457</v>
      </c>
      <c r="C68" t="s">
        <v>1477</v>
      </c>
      <c r="D68" s="64"/>
      <c r="E68" t="s">
        <v>1566</v>
      </c>
      <c r="F68" t="s">
        <v>285</v>
      </c>
      <c r="G68" t="s">
        <v>25</v>
      </c>
      <c r="H68">
        <v>383</v>
      </c>
      <c r="I68">
        <v>1</v>
      </c>
      <c r="J68" s="60" t="s">
        <v>1565</v>
      </c>
      <c r="K68" s="60" t="s">
        <v>1343</v>
      </c>
      <c r="L68">
        <v>39.481192593764668</v>
      </c>
      <c r="M68">
        <v>220.90342905938024</v>
      </c>
      <c r="T68" t="s">
        <v>1567</v>
      </c>
      <c r="U68" t="s">
        <v>1568</v>
      </c>
      <c r="V68" t="s">
        <v>1569</v>
      </c>
      <c r="W68" t="s">
        <v>1570</v>
      </c>
      <c r="X68" t="s">
        <v>1571</v>
      </c>
      <c r="Y68" t="s">
        <v>551</v>
      </c>
      <c r="Z68" t="s">
        <v>1572</v>
      </c>
    </row>
    <row r="69" spans="1:35" x14ac:dyDescent="0.25">
      <c r="A69">
        <v>68</v>
      </c>
      <c r="B69" s="57">
        <v>44457</v>
      </c>
      <c r="C69" t="s">
        <v>1573</v>
      </c>
      <c r="D69" s="64"/>
      <c r="E69" t="s">
        <v>355</v>
      </c>
      <c r="F69" t="s">
        <v>285</v>
      </c>
      <c r="G69" t="s">
        <v>25</v>
      </c>
      <c r="H69">
        <v>295</v>
      </c>
      <c r="I69">
        <v>1</v>
      </c>
      <c r="J69" s="60" t="s">
        <v>1565</v>
      </c>
      <c r="K69" s="60" t="s">
        <v>1343</v>
      </c>
      <c r="L69">
        <v>30.008059944590141</v>
      </c>
      <c r="M69">
        <v>174.86563366075168</v>
      </c>
      <c r="T69" t="s">
        <v>1574</v>
      </c>
      <c r="U69" t="s">
        <v>1575</v>
      </c>
      <c r="V69" t="s">
        <v>1576</v>
      </c>
      <c r="W69" t="s">
        <v>1577</v>
      </c>
      <c r="X69" t="s">
        <v>1578</v>
      </c>
      <c r="Y69" t="s">
        <v>1579</v>
      </c>
      <c r="Z69" t="s">
        <v>1580</v>
      </c>
    </row>
    <row r="70" spans="1:35" x14ac:dyDescent="0.25">
      <c r="A70">
        <v>69</v>
      </c>
      <c r="B70" s="57">
        <v>44457</v>
      </c>
      <c r="C70" t="s">
        <v>1082</v>
      </c>
      <c r="E70">
        <v>1955</v>
      </c>
      <c r="F70" t="s">
        <v>285</v>
      </c>
      <c r="G70" t="s">
        <v>1084</v>
      </c>
      <c r="H70">
        <v>528</v>
      </c>
      <c r="I70">
        <v>2</v>
      </c>
      <c r="J70" s="60" t="s">
        <v>1565</v>
      </c>
      <c r="K70" s="60" t="s">
        <v>1343</v>
      </c>
      <c r="L70">
        <v>41.079661146368665</v>
      </c>
      <c r="M70">
        <v>168.45592471959802</v>
      </c>
      <c r="T70" t="s">
        <v>1581</v>
      </c>
      <c r="U70" t="s">
        <v>1582</v>
      </c>
      <c r="V70" t="s">
        <v>346</v>
      </c>
      <c r="W70" t="s">
        <v>1583</v>
      </c>
      <c r="X70" t="s">
        <v>419</v>
      </c>
      <c r="Y70" t="s">
        <v>1584</v>
      </c>
    </row>
    <row r="71" spans="1:35" x14ac:dyDescent="0.25">
      <c r="A71">
        <v>70</v>
      </c>
      <c r="B71" s="57">
        <v>44457</v>
      </c>
      <c r="C71" t="s">
        <v>1249</v>
      </c>
      <c r="E71" t="s">
        <v>1566</v>
      </c>
      <c r="F71" t="s">
        <v>285</v>
      </c>
      <c r="G71" t="s">
        <v>24</v>
      </c>
      <c r="H71">
        <v>384</v>
      </c>
      <c r="I71">
        <v>2</v>
      </c>
      <c r="J71" s="60" t="s">
        <v>1565</v>
      </c>
      <c r="K71" s="60" t="s">
        <v>1343</v>
      </c>
      <c r="L71">
        <v>28.331138947686568</v>
      </c>
      <c r="M71">
        <v>142.53962860889064</v>
      </c>
      <c r="T71" t="s">
        <v>1585</v>
      </c>
      <c r="U71" t="s">
        <v>1586</v>
      </c>
      <c r="V71" t="s">
        <v>1587</v>
      </c>
      <c r="W71" t="s">
        <v>1588</v>
      </c>
      <c r="X71" t="s">
        <v>1589</v>
      </c>
      <c r="Y71" t="s">
        <v>1590</v>
      </c>
      <c r="Z71" t="s">
        <v>1591</v>
      </c>
      <c r="AA71" t="s">
        <v>1592</v>
      </c>
    </row>
    <row r="72" spans="1:35" x14ac:dyDescent="0.25">
      <c r="A72">
        <v>71</v>
      </c>
      <c r="B72" s="57">
        <v>44457</v>
      </c>
      <c r="C72" t="s">
        <v>1593</v>
      </c>
      <c r="E72" t="s">
        <v>343</v>
      </c>
      <c r="F72" t="s">
        <v>436</v>
      </c>
      <c r="G72" t="s">
        <v>51</v>
      </c>
      <c r="H72">
        <v>302</v>
      </c>
      <c r="I72">
        <v>2</v>
      </c>
      <c r="J72" s="60" t="s">
        <v>1565</v>
      </c>
      <c r="K72" s="60" t="s">
        <v>1343</v>
      </c>
      <c r="L72">
        <v>17.298763968057848</v>
      </c>
      <c r="M72">
        <v>56.853874592864329</v>
      </c>
      <c r="T72" t="s">
        <v>1594</v>
      </c>
      <c r="U72" t="s">
        <v>1595</v>
      </c>
      <c r="V72" t="s">
        <v>1596</v>
      </c>
      <c r="W72" t="s">
        <v>1597</v>
      </c>
      <c r="X72" t="s">
        <v>1598</v>
      </c>
      <c r="Y72" t="s">
        <v>1453</v>
      </c>
      <c r="Z72" t="s">
        <v>1599</v>
      </c>
      <c r="AA72" t="s">
        <v>1600</v>
      </c>
      <c r="AB72" t="s">
        <v>1601</v>
      </c>
      <c r="AC72" t="s">
        <v>1602</v>
      </c>
    </row>
    <row r="73" spans="1:35" x14ac:dyDescent="0.25">
      <c r="A73">
        <v>72</v>
      </c>
      <c r="B73" s="57">
        <v>44457</v>
      </c>
      <c r="C73" t="s">
        <v>1603</v>
      </c>
      <c r="E73" t="s">
        <v>355</v>
      </c>
      <c r="F73" t="s">
        <v>285</v>
      </c>
      <c r="G73" t="s">
        <v>51</v>
      </c>
      <c r="H73">
        <v>232</v>
      </c>
      <c r="I73">
        <v>1</v>
      </c>
      <c r="J73" s="60" t="s">
        <v>1565</v>
      </c>
      <c r="K73" s="60" t="s">
        <v>1343</v>
      </c>
      <c r="L73">
        <v>11.002955313016384</v>
      </c>
      <c r="M73">
        <v>52.479999695630944</v>
      </c>
      <c r="T73" t="s">
        <v>1604</v>
      </c>
      <c r="U73" t="s">
        <v>1605</v>
      </c>
      <c r="V73" t="s">
        <v>1606</v>
      </c>
      <c r="W73" t="s">
        <v>1607</v>
      </c>
      <c r="X73" t="s">
        <v>1511</v>
      </c>
      <c r="Y73" t="s">
        <v>1608</v>
      </c>
      <c r="Z73" t="s">
        <v>1609</v>
      </c>
      <c r="AA73" t="s">
        <v>1610</v>
      </c>
      <c r="AB73" t="s">
        <v>1611</v>
      </c>
      <c r="AC73" t="s">
        <v>1612</v>
      </c>
      <c r="AD73" t="s">
        <v>1613</v>
      </c>
    </row>
    <row r="74" spans="1:35" x14ac:dyDescent="0.25">
      <c r="A74">
        <v>73</v>
      </c>
      <c r="B74" s="57">
        <v>44457</v>
      </c>
      <c r="C74" t="s">
        <v>264</v>
      </c>
      <c r="E74" t="s">
        <v>1614</v>
      </c>
      <c r="F74" t="s">
        <v>285</v>
      </c>
      <c r="G74" t="s">
        <v>48</v>
      </c>
      <c r="H74">
        <v>236</v>
      </c>
      <c r="I74">
        <v>2</v>
      </c>
      <c r="J74" s="60" t="s">
        <v>1565</v>
      </c>
      <c r="K74" s="60" t="s">
        <v>1343</v>
      </c>
      <c r="L74">
        <v>28.684174947034691</v>
      </c>
      <c r="M74">
        <v>185.30151719155779</v>
      </c>
      <c r="T74" t="s">
        <v>1615</v>
      </c>
      <c r="U74" t="s">
        <v>1616</v>
      </c>
      <c r="V74" t="s">
        <v>1617</v>
      </c>
      <c r="W74" t="s">
        <v>1618</v>
      </c>
      <c r="X74" t="s">
        <v>1619</v>
      </c>
      <c r="Y74" t="s">
        <v>1620</v>
      </c>
      <c r="Z74" t="s">
        <v>1621</v>
      </c>
      <c r="AA74" t="s">
        <v>1622</v>
      </c>
      <c r="AB74" t="s">
        <v>1562</v>
      </c>
    </row>
    <row r="75" spans="1:35" x14ac:dyDescent="0.25">
      <c r="A75">
        <v>74</v>
      </c>
      <c r="B75" s="57">
        <v>44457</v>
      </c>
      <c r="C75" t="s">
        <v>1623</v>
      </c>
      <c r="E75" t="s">
        <v>1624</v>
      </c>
      <c r="F75" t="s">
        <v>366</v>
      </c>
      <c r="G75" t="s">
        <v>54</v>
      </c>
      <c r="H75">
        <v>480</v>
      </c>
      <c r="I75">
        <v>2</v>
      </c>
      <c r="J75" s="60" t="s">
        <v>1565</v>
      </c>
      <c r="K75" s="60" t="s">
        <v>1343</v>
      </c>
      <c r="L75">
        <v>36.029285044583062</v>
      </c>
      <c r="M75">
        <v>186.76635131955433</v>
      </c>
      <c r="T75" t="s">
        <v>1625</v>
      </c>
      <c r="U75" t="s">
        <v>1489</v>
      </c>
      <c r="V75" t="s">
        <v>1626</v>
      </c>
      <c r="W75" t="s">
        <v>1437</v>
      </c>
      <c r="X75" t="s">
        <v>1627</v>
      </c>
      <c r="Y75" t="s">
        <v>1628</v>
      </c>
      <c r="Z75" t="s">
        <v>1629</v>
      </c>
      <c r="AA75" t="s">
        <v>1630</v>
      </c>
      <c r="AB75" t="s">
        <v>447</v>
      </c>
      <c r="AC75" t="s">
        <v>396</v>
      </c>
      <c r="AD75" t="s">
        <v>1631</v>
      </c>
      <c r="AE75" t="s">
        <v>1632</v>
      </c>
      <c r="AF75" t="s">
        <v>391</v>
      </c>
      <c r="AG75" t="s">
        <v>1633</v>
      </c>
      <c r="AH75" t="s">
        <v>1634</v>
      </c>
      <c r="AI75" t="s">
        <v>1635</v>
      </c>
    </row>
    <row r="76" spans="1:35" x14ac:dyDescent="0.25">
      <c r="A76">
        <v>75</v>
      </c>
      <c r="B76" s="57">
        <v>44457</v>
      </c>
      <c r="C76" t="s">
        <v>1636</v>
      </c>
      <c r="E76">
        <v>1946</v>
      </c>
      <c r="F76" t="s">
        <v>156</v>
      </c>
      <c r="G76" t="s">
        <v>52</v>
      </c>
      <c r="H76">
        <v>333</v>
      </c>
      <c r="I76">
        <v>2</v>
      </c>
      <c r="J76" s="60" t="s">
        <v>1565</v>
      </c>
      <c r="K76" s="60" t="s">
        <v>1343</v>
      </c>
      <c r="L76">
        <v>21.799972959746366</v>
      </c>
      <c r="M76">
        <v>132.65904071668342</v>
      </c>
      <c r="T76" t="s">
        <v>1637</v>
      </c>
      <c r="U76" t="s">
        <v>1638</v>
      </c>
      <c r="V76" t="s">
        <v>330</v>
      </c>
      <c r="W76" t="s">
        <v>1112</v>
      </c>
      <c r="X76" t="s">
        <v>1639</v>
      </c>
      <c r="Y76" t="s">
        <v>1640</v>
      </c>
      <c r="Z76" t="s">
        <v>1641</v>
      </c>
    </row>
    <row r="77" spans="1:35" x14ac:dyDescent="0.25">
      <c r="A77">
        <v>76</v>
      </c>
      <c r="B77" s="57">
        <v>44457</v>
      </c>
      <c r="C77" t="s">
        <v>1642</v>
      </c>
      <c r="E77" t="s">
        <v>1643</v>
      </c>
      <c r="F77" t="s">
        <v>285</v>
      </c>
      <c r="G77" t="s">
        <v>48</v>
      </c>
      <c r="H77">
        <v>146</v>
      </c>
      <c r="I77">
        <v>1</v>
      </c>
      <c r="J77" s="60" t="s">
        <v>1565</v>
      </c>
      <c r="K77" s="60" t="s">
        <v>1343</v>
      </c>
      <c r="L77">
        <v>23.408248067887797</v>
      </c>
      <c r="M77">
        <v>152.63068642128701</v>
      </c>
      <c r="T77" t="s">
        <v>427</v>
      </c>
      <c r="U77" t="s">
        <v>441</v>
      </c>
      <c r="V77" t="s">
        <v>1644</v>
      </c>
      <c r="W77" t="s">
        <v>1645</v>
      </c>
    </row>
    <row r="78" spans="1:35" x14ac:dyDescent="0.25">
      <c r="A78">
        <v>77</v>
      </c>
      <c r="B78" s="57">
        <v>44485</v>
      </c>
      <c r="C78" t="s">
        <v>483</v>
      </c>
      <c r="E78" t="s">
        <v>343</v>
      </c>
      <c r="F78" t="s">
        <v>285</v>
      </c>
      <c r="G78" t="s">
        <v>24</v>
      </c>
      <c r="H78">
        <v>384</v>
      </c>
      <c r="I78">
        <v>2</v>
      </c>
      <c r="J78" s="60" t="s">
        <v>1657</v>
      </c>
      <c r="K78" s="60" t="s">
        <v>1658</v>
      </c>
      <c r="L78">
        <v>25.249983633606149</v>
      </c>
      <c r="M78">
        <v>155.18476631084411</v>
      </c>
      <c r="T78" t="s">
        <v>1659</v>
      </c>
      <c r="U78" t="s">
        <v>668</v>
      </c>
      <c r="V78" t="s">
        <v>1660</v>
      </c>
      <c r="W78" t="s">
        <v>1661</v>
      </c>
      <c r="X78" t="s">
        <v>1662</v>
      </c>
    </row>
    <row r="79" spans="1:35" x14ac:dyDescent="0.25">
      <c r="A79">
        <v>78</v>
      </c>
      <c r="B79" s="57">
        <v>44485</v>
      </c>
      <c r="C79" t="s">
        <v>1179</v>
      </c>
      <c r="E79" t="s">
        <v>571</v>
      </c>
      <c r="F79" t="s">
        <v>1181</v>
      </c>
      <c r="G79" t="s">
        <v>25</v>
      </c>
      <c r="H79">
        <v>11</v>
      </c>
      <c r="I79">
        <v>1</v>
      </c>
      <c r="J79" s="60" t="s">
        <v>1657</v>
      </c>
      <c r="K79" s="60" t="s">
        <v>1658</v>
      </c>
      <c r="L79">
        <v>35.514395585127907</v>
      </c>
      <c r="M79">
        <v>487.53880749323525</v>
      </c>
      <c r="T79" t="s">
        <v>1663</v>
      </c>
      <c r="U79" t="s">
        <v>1664</v>
      </c>
      <c r="V79" t="s">
        <v>1665</v>
      </c>
      <c r="W79" t="s">
        <v>1666</v>
      </c>
      <c r="X79" t="s">
        <v>1572</v>
      </c>
      <c r="Y79" t="s">
        <v>1667</v>
      </c>
      <c r="Z79" t="s">
        <v>1668</v>
      </c>
      <c r="AA79" t="s">
        <v>1669</v>
      </c>
      <c r="AB79" t="s">
        <v>1670</v>
      </c>
      <c r="AC79" t="s">
        <v>1671</v>
      </c>
      <c r="AD79" t="s">
        <v>1401</v>
      </c>
      <c r="AE79" t="s">
        <v>1672</v>
      </c>
      <c r="AF79" t="s">
        <v>489</v>
      </c>
      <c r="AG79" t="s">
        <v>1673</v>
      </c>
    </row>
    <row r="80" spans="1:35" x14ac:dyDescent="0.25">
      <c r="A80">
        <v>79</v>
      </c>
      <c r="B80" s="57">
        <v>44485</v>
      </c>
      <c r="C80" t="s">
        <v>1674</v>
      </c>
      <c r="E80" t="s">
        <v>1083</v>
      </c>
      <c r="F80" t="s">
        <v>285</v>
      </c>
      <c r="G80" t="s">
        <v>335</v>
      </c>
      <c r="H80">
        <v>472</v>
      </c>
      <c r="I80">
        <v>2</v>
      </c>
      <c r="J80" s="60" t="s">
        <v>1657</v>
      </c>
      <c r="K80" s="60" t="s">
        <v>1675</v>
      </c>
      <c r="L80">
        <v>30.391931119807452</v>
      </c>
      <c r="M80">
        <v>152.15586620259023</v>
      </c>
      <c r="T80" t="s">
        <v>1676</v>
      </c>
      <c r="U80" t="s">
        <v>1677</v>
      </c>
      <c r="V80" t="s">
        <v>1678</v>
      </c>
      <c r="W80" t="s">
        <v>485</v>
      </c>
      <c r="X80" t="s">
        <v>1679</v>
      </c>
      <c r="Y80" t="s">
        <v>1680</v>
      </c>
      <c r="Z80" t="s">
        <v>1681</v>
      </c>
    </row>
    <row r="81" spans="1:28" x14ac:dyDescent="0.25">
      <c r="A81">
        <v>80</v>
      </c>
      <c r="B81" s="57">
        <v>44485</v>
      </c>
      <c r="C81" t="s">
        <v>1682</v>
      </c>
      <c r="E81">
        <v>1952</v>
      </c>
      <c r="F81" t="s">
        <v>285</v>
      </c>
      <c r="G81" t="s">
        <v>57</v>
      </c>
      <c r="H81">
        <v>406</v>
      </c>
      <c r="I81">
        <v>1</v>
      </c>
      <c r="J81" s="60" t="s">
        <v>1657</v>
      </c>
      <c r="K81" s="60" t="s">
        <v>1675</v>
      </c>
      <c r="L81">
        <v>51.345374314208875</v>
      </c>
      <c r="M81">
        <v>287.37689574214016</v>
      </c>
      <c r="T81" t="s">
        <v>1683</v>
      </c>
      <c r="U81" t="s">
        <v>372</v>
      </c>
      <c r="V81" t="s">
        <v>540</v>
      </c>
      <c r="W81" t="s">
        <v>519</v>
      </c>
      <c r="X81" t="s">
        <v>1684</v>
      </c>
      <c r="Y81" t="s">
        <v>1685</v>
      </c>
    </row>
    <row r="82" spans="1:28" x14ac:dyDescent="0.25">
      <c r="A82">
        <v>81</v>
      </c>
      <c r="B82" s="57">
        <v>44485</v>
      </c>
      <c r="C82" t="s">
        <v>1686</v>
      </c>
      <c r="E82" t="s">
        <v>379</v>
      </c>
      <c r="F82" t="s">
        <v>285</v>
      </c>
      <c r="G82" t="s">
        <v>1687</v>
      </c>
      <c r="H82">
        <v>594</v>
      </c>
      <c r="I82">
        <v>1</v>
      </c>
      <c r="J82" s="60" t="s">
        <v>1657</v>
      </c>
      <c r="K82" s="60" t="s">
        <v>1688</v>
      </c>
      <c r="L82">
        <v>36.367634288860394</v>
      </c>
      <c r="M82">
        <v>218.18738100034594</v>
      </c>
      <c r="T82" t="s">
        <v>1689</v>
      </c>
      <c r="U82" t="s">
        <v>1690</v>
      </c>
      <c r="V82" t="s">
        <v>1691</v>
      </c>
      <c r="W82" t="s">
        <v>1692</v>
      </c>
      <c r="X82" t="s">
        <v>1693</v>
      </c>
      <c r="Y82" t="s">
        <v>417</v>
      </c>
      <c r="Z82" t="s">
        <v>1694</v>
      </c>
      <c r="AA82" t="s">
        <v>1695</v>
      </c>
      <c r="AB82" t="s">
        <v>415</v>
      </c>
    </row>
    <row r="83" spans="1:28" x14ac:dyDescent="0.25">
      <c r="A83">
        <v>82</v>
      </c>
      <c r="B83" s="57">
        <v>44485</v>
      </c>
      <c r="C83" t="s">
        <v>1696</v>
      </c>
      <c r="E83" t="s">
        <v>492</v>
      </c>
      <c r="F83" t="s">
        <v>156</v>
      </c>
      <c r="G83" t="s">
        <v>171</v>
      </c>
      <c r="H83">
        <v>355</v>
      </c>
      <c r="I83">
        <v>2</v>
      </c>
      <c r="J83" s="60" t="s">
        <v>1657</v>
      </c>
      <c r="K83" s="60" t="s">
        <v>1688</v>
      </c>
      <c r="L83">
        <v>36.329751336476164</v>
      </c>
      <c r="M83">
        <v>119.49100948630931</v>
      </c>
      <c r="T83" t="s">
        <v>1697</v>
      </c>
      <c r="U83" t="s">
        <v>1698</v>
      </c>
      <c r="V83" t="s">
        <v>1699</v>
      </c>
      <c r="W83" t="s">
        <v>1700</v>
      </c>
      <c r="X83" t="s">
        <v>1701</v>
      </c>
      <c r="Y83" t="s">
        <v>1702</v>
      </c>
      <c r="Z83" t="s">
        <v>1572</v>
      </c>
      <c r="AA83" t="s">
        <v>1703</v>
      </c>
    </row>
    <row r="84" spans="1:28" x14ac:dyDescent="0.25">
      <c r="A84">
        <v>83</v>
      </c>
      <c r="B84" s="57">
        <v>44485</v>
      </c>
      <c r="C84" t="s">
        <v>1704</v>
      </c>
      <c r="E84" t="s">
        <v>1705</v>
      </c>
      <c r="F84" t="s">
        <v>436</v>
      </c>
      <c r="G84" t="s">
        <v>1706</v>
      </c>
      <c r="H84">
        <v>965</v>
      </c>
      <c r="I84">
        <v>2</v>
      </c>
      <c r="J84" s="60" t="s">
        <v>1707</v>
      </c>
      <c r="K84" s="60" t="s">
        <v>1688</v>
      </c>
      <c r="L84">
        <v>48.575533192871866</v>
      </c>
      <c r="M84">
        <v>142.46282678705015</v>
      </c>
      <c r="T84" t="s">
        <v>1708</v>
      </c>
      <c r="U84" t="s">
        <v>1709</v>
      </c>
      <c r="V84" t="s">
        <v>1710</v>
      </c>
      <c r="W84" t="s">
        <v>1711</v>
      </c>
      <c r="X84" t="s">
        <v>1712</v>
      </c>
      <c r="Y84" t="s">
        <v>1713</v>
      </c>
      <c r="Z84" t="s">
        <v>1714</v>
      </c>
      <c r="AA84" t="s">
        <v>1715</v>
      </c>
    </row>
  </sheetData>
  <autoFilter ref="A1:M77" xr:uid="{E7309318-3ABA-4693-9A0D-A0AB9364A1EE}"/>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veDataDialog">
                <anchor moveWithCells="1" sizeWithCells="1">
                  <from>
                    <xdr:col>13</xdr:col>
                    <xdr:colOff>104775</xdr:colOff>
                    <xdr:row>0</xdr:row>
                    <xdr:rowOff>38100</xdr:rowOff>
                  </from>
                  <to>
                    <xdr:col>16</xdr:col>
                    <xdr:colOff>438150</xdr:colOff>
                    <xdr:row>0</xdr:row>
                    <xdr:rowOff>285750</xdr:rowOff>
                  </to>
                </anchor>
              </controlPr>
            </control>
          </mc:Choice>
        </mc:AlternateContent>
        <mc:AlternateContent xmlns:mc="http://schemas.openxmlformats.org/markup-compatibility/2006">
          <mc:Choice Requires="x14">
            <control shapeId="23554" r:id="rId5" name="Button 1026">
              <controlPr defaultSize="0" print="0" autoFill="0" autoPict="0" macro="[0]!showExport">
                <anchor moveWithCells="1" sizeWithCells="1">
                  <from>
                    <xdr:col>16</xdr:col>
                    <xdr:colOff>514350</xdr:colOff>
                    <xdr:row>0</xdr:row>
                    <xdr:rowOff>28575</xdr:rowOff>
                  </from>
                  <to>
                    <xdr:col>19</xdr:col>
                    <xdr:colOff>85725</xdr:colOff>
                    <xdr:row>0</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79F48-D042-40E1-A678-B646FB377FE0}">
  <sheetPr codeName="Sheet3"/>
  <dimension ref="A1:K333"/>
  <sheetViews>
    <sheetView workbookViewId="0">
      <pane ySplit="1" topLeftCell="A2" activePane="bottomLeft" state="frozen"/>
      <selection pane="bottomLeft" activeCell="E510" sqref="E510"/>
    </sheetView>
  </sheetViews>
  <sheetFormatPr defaultRowHeight="15" x14ac:dyDescent="0.25"/>
  <cols>
    <col min="1" max="1" width="9.5703125" style="81" bestFit="1" customWidth="1"/>
    <col min="2" max="2" width="20.28515625" style="81" customWidth="1"/>
    <col min="3" max="3" width="19.28515625" style="81" bestFit="1" customWidth="1"/>
    <col min="4" max="4" width="18.5703125" style="81" bestFit="1" customWidth="1"/>
    <col min="5" max="5" width="15.28515625" style="81" bestFit="1" customWidth="1"/>
    <col min="6" max="6" width="16.7109375" style="81" bestFit="1" customWidth="1"/>
    <col min="7" max="7" width="9.42578125" style="81" bestFit="1" customWidth="1"/>
    <col min="8" max="8" width="23.42578125" style="81" bestFit="1" customWidth="1"/>
    <col min="9" max="9" width="21.28515625" style="81" bestFit="1" customWidth="1"/>
    <col min="10" max="10" width="19.140625" style="81" bestFit="1" customWidth="1"/>
    <col min="11" max="11" width="18.7109375" style="81" bestFit="1" customWidth="1"/>
    <col min="12" max="16384" width="9.140625" style="81"/>
  </cols>
  <sheetData>
    <row r="1" spans="1:11" ht="24" customHeight="1" x14ac:dyDescent="0.25">
      <c r="A1" s="81" t="s">
        <v>17</v>
      </c>
      <c r="B1" s="81" t="s">
        <v>18</v>
      </c>
      <c r="C1" s="81" t="s">
        <v>279</v>
      </c>
      <c r="D1" s="81" t="s">
        <v>19</v>
      </c>
      <c r="E1" s="81" t="s">
        <v>43</v>
      </c>
      <c r="F1" s="81" t="s">
        <v>44</v>
      </c>
      <c r="G1" s="81" t="s">
        <v>20</v>
      </c>
      <c r="H1" s="81" t="s">
        <v>16</v>
      </c>
      <c r="I1" s="81" t="s">
        <v>21</v>
      </c>
      <c r="J1" s="81" t="s">
        <v>22</v>
      </c>
      <c r="K1" s="81" t="s">
        <v>45</v>
      </c>
    </row>
    <row r="2" spans="1:11" x14ac:dyDescent="0.25">
      <c r="A2" s="81">
        <v>1920</v>
      </c>
      <c r="B2" s="81">
        <v>1</v>
      </c>
      <c r="C2" s="81" t="s">
        <v>285</v>
      </c>
      <c r="D2" s="81" t="s">
        <v>46</v>
      </c>
      <c r="E2" s="81">
        <v>25.97</v>
      </c>
      <c r="F2" s="81">
        <v>25.51</v>
      </c>
      <c r="G2" s="81" t="s">
        <v>47</v>
      </c>
      <c r="H2" s="81">
        <v>750</v>
      </c>
      <c r="I2" s="81">
        <v>750</v>
      </c>
      <c r="J2" s="81">
        <v>13.75</v>
      </c>
      <c r="K2" s="81">
        <v>7.78</v>
      </c>
    </row>
    <row r="3" spans="1:11" x14ac:dyDescent="0.25">
      <c r="A3" s="81">
        <v>1920</v>
      </c>
      <c r="B3" s="81">
        <v>3</v>
      </c>
      <c r="C3" s="81" t="s">
        <v>366</v>
      </c>
      <c r="D3" s="81" t="s">
        <v>223</v>
      </c>
      <c r="E3" s="81">
        <v>18.145</v>
      </c>
      <c r="F3" s="81">
        <v>18.41</v>
      </c>
      <c r="G3" s="81" t="s">
        <v>47</v>
      </c>
      <c r="H3" s="81">
        <v>1050</v>
      </c>
      <c r="K3" s="81">
        <v>6.24</v>
      </c>
    </row>
    <row r="4" spans="1:11" x14ac:dyDescent="0.25">
      <c r="A4" s="81">
        <v>1920</v>
      </c>
      <c r="B4" s="81">
        <v>4</v>
      </c>
      <c r="C4" s="81" t="s">
        <v>366</v>
      </c>
      <c r="D4" s="81" t="s">
        <v>224</v>
      </c>
      <c r="E4" s="81">
        <v>31.23</v>
      </c>
      <c r="F4" s="81">
        <v>27.52</v>
      </c>
      <c r="G4" s="81" t="s">
        <v>47</v>
      </c>
      <c r="H4" s="81">
        <v>900</v>
      </c>
      <c r="K4" s="81">
        <v>10.27</v>
      </c>
    </row>
    <row r="5" spans="1:11" x14ac:dyDescent="0.25">
      <c r="A5" s="81">
        <v>1920</v>
      </c>
      <c r="B5" s="81">
        <v>5</v>
      </c>
      <c r="C5" s="81" t="s">
        <v>366</v>
      </c>
      <c r="D5" s="81" t="s">
        <v>225</v>
      </c>
      <c r="E5" s="81">
        <v>49.97</v>
      </c>
      <c r="F5" s="81">
        <v>40.08</v>
      </c>
      <c r="G5" s="81" t="s">
        <v>47</v>
      </c>
      <c r="H5" s="81">
        <v>850</v>
      </c>
      <c r="K5" s="81">
        <v>9.7200000000000006</v>
      </c>
    </row>
    <row r="6" spans="1:11" x14ac:dyDescent="0.25">
      <c r="A6" s="81">
        <v>1920</v>
      </c>
      <c r="B6" s="81">
        <v>6</v>
      </c>
      <c r="C6" s="81" t="s">
        <v>366</v>
      </c>
      <c r="D6" s="81" t="s">
        <v>155</v>
      </c>
      <c r="E6" s="81">
        <v>22.81</v>
      </c>
      <c r="F6" s="81">
        <v>20.190000000000001</v>
      </c>
      <c r="G6" s="81" t="s">
        <v>47</v>
      </c>
      <c r="H6" s="81">
        <v>900</v>
      </c>
      <c r="K6" s="81">
        <v>8.42</v>
      </c>
    </row>
    <row r="7" spans="1:11" x14ac:dyDescent="0.25">
      <c r="A7" s="81">
        <v>1920</v>
      </c>
      <c r="B7" s="81">
        <v>7</v>
      </c>
      <c r="C7" s="81" t="s">
        <v>366</v>
      </c>
      <c r="D7" s="81" t="s">
        <v>226</v>
      </c>
      <c r="E7" s="81">
        <v>42.8</v>
      </c>
      <c r="F7" s="81">
        <v>40.29</v>
      </c>
      <c r="G7" s="81" t="s">
        <v>47</v>
      </c>
      <c r="H7" s="81">
        <v>475</v>
      </c>
      <c r="K7" s="81">
        <v>5.66</v>
      </c>
    </row>
    <row r="8" spans="1:11" x14ac:dyDescent="0.25">
      <c r="A8" s="81">
        <v>1920</v>
      </c>
      <c r="B8" s="81">
        <v>8</v>
      </c>
      <c r="C8" s="81" t="s">
        <v>459</v>
      </c>
      <c r="D8" s="81" t="s">
        <v>209</v>
      </c>
      <c r="E8" s="81">
        <v>75.599999999999994</v>
      </c>
      <c r="F8" s="81">
        <v>60.2</v>
      </c>
      <c r="G8" s="81" t="s">
        <v>47</v>
      </c>
      <c r="H8" s="81">
        <v>375</v>
      </c>
      <c r="I8" s="81">
        <v>375</v>
      </c>
      <c r="J8" s="81">
        <v>38</v>
      </c>
      <c r="K8" s="81">
        <v>7.79</v>
      </c>
    </row>
    <row r="9" spans="1:11" x14ac:dyDescent="0.25">
      <c r="A9" s="81">
        <v>1920</v>
      </c>
      <c r="B9" s="81">
        <v>9</v>
      </c>
      <c r="C9" s="81" t="s">
        <v>459</v>
      </c>
      <c r="D9" s="81" t="s">
        <v>210</v>
      </c>
      <c r="E9" s="81">
        <v>33.520000000000003</v>
      </c>
      <c r="F9" s="81">
        <v>30.5</v>
      </c>
      <c r="G9" s="81" t="s">
        <v>47</v>
      </c>
      <c r="H9" s="81">
        <v>530</v>
      </c>
      <c r="K9" s="81">
        <v>9.94</v>
      </c>
    </row>
    <row r="10" spans="1:11" x14ac:dyDescent="0.25">
      <c r="A10" s="81">
        <v>1920</v>
      </c>
      <c r="B10" s="81">
        <v>10</v>
      </c>
      <c r="C10" s="81" t="s">
        <v>459</v>
      </c>
      <c r="D10" s="81" t="s">
        <v>211</v>
      </c>
      <c r="E10" s="81">
        <v>23.87</v>
      </c>
      <c r="F10" s="81">
        <v>20.059999999999999</v>
      </c>
      <c r="G10" s="81" t="s">
        <v>47</v>
      </c>
      <c r="H10" s="81">
        <v>560</v>
      </c>
      <c r="K10" s="81">
        <v>10.82</v>
      </c>
    </row>
    <row r="11" spans="1:11" x14ac:dyDescent="0.25">
      <c r="A11" s="81">
        <v>1920</v>
      </c>
      <c r="B11" s="81">
        <v>11</v>
      </c>
      <c r="C11" s="81" t="s">
        <v>459</v>
      </c>
      <c r="D11" s="81" t="s">
        <v>212</v>
      </c>
      <c r="E11" s="81">
        <v>46.19</v>
      </c>
      <c r="F11" s="81">
        <v>39.9</v>
      </c>
      <c r="G11" s="81" t="s">
        <v>47</v>
      </c>
      <c r="H11" s="81">
        <v>460</v>
      </c>
      <c r="I11" s="81">
        <v>460</v>
      </c>
      <c r="J11" s="81">
        <v>27</v>
      </c>
      <c r="K11" s="81">
        <v>9.3000000000000007</v>
      </c>
    </row>
    <row r="12" spans="1:11" x14ac:dyDescent="0.25">
      <c r="A12" s="81">
        <v>1920</v>
      </c>
      <c r="B12" s="81">
        <v>13</v>
      </c>
      <c r="C12" s="81" t="s">
        <v>1649</v>
      </c>
      <c r="D12" s="81" t="s">
        <v>62</v>
      </c>
      <c r="E12" s="81" t="s">
        <v>63</v>
      </c>
      <c r="F12" s="81">
        <v>25.1</v>
      </c>
      <c r="G12" s="81" t="s">
        <v>47</v>
      </c>
      <c r="H12" s="81">
        <v>750</v>
      </c>
      <c r="K12" s="81">
        <v>6.71</v>
      </c>
    </row>
    <row r="13" spans="1:11" x14ac:dyDescent="0.25">
      <c r="A13" s="81">
        <v>1920</v>
      </c>
      <c r="B13" s="81">
        <v>14</v>
      </c>
      <c r="C13" s="81" t="s">
        <v>1649</v>
      </c>
      <c r="D13" s="81" t="s">
        <v>64</v>
      </c>
      <c r="E13" s="81" t="s">
        <v>65</v>
      </c>
      <c r="F13" s="81">
        <v>44.15</v>
      </c>
      <c r="G13" s="81" t="s">
        <v>47</v>
      </c>
      <c r="H13" s="81">
        <v>700</v>
      </c>
      <c r="K13" s="81">
        <v>7.4</v>
      </c>
    </row>
    <row r="14" spans="1:11" x14ac:dyDescent="0.25">
      <c r="A14" s="81">
        <v>1920</v>
      </c>
      <c r="B14" s="81">
        <v>15</v>
      </c>
      <c r="C14" s="81" t="s">
        <v>1649</v>
      </c>
      <c r="D14" s="81" t="s">
        <v>66</v>
      </c>
      <c r="E14" s="81">
        <v>74.010000000000005</v>
      </c>
      <c r="F14" s="81">
        <v>70.31</v>
      </c>
      <c r="G14" s="81" t="s">
        <v>47</v>
      </c>
      <c r="H14" s="81">
        <v>550</v>
      </c>
      <c r="K14" s="81">
        <v>7.96</v>
      </c>
    </row>
    <row r="15" spans="1:11" x14ac:dyDescent="0.25">
      <c r="A15" s="81">
        <v>1920</v>
      </c>
      <c r="B15" s="81">
        <v>19</v>
      </c>
      <c r="C15" s="81" t="s">
        <v>1649</v>
      </c>
      <c r="D15" s="81" t="s">
        <v>67</v>
      </c>
      <c r="E15" s="81">
        <v>27.93</v>
      </c>
      <c r="F15" s="81">
        <v>20.32</v>
      </c>
      <c r="G15" s="81" t="s">
        <v>47</v>
      </c>
      <c r="H15" s="81">
        <v>1000</v>
      </c>
      <c r="K15" s="81">
        <v>7.88</v>
      </c>
    </row>
    <row r="16" spans="1:11" x14ac:dyDescent="0.25">
      <c r="A16" s="81">
        <v>1920</v>
      </c>
      <c r="B16" s="81">
        <v>23</v>
      </c>
      <c r="C16" s="81" t="s">
        <v>156</v>
      </c>
      <c r="D16" s="81" t="s">
        <v>152</v>
      </c>
      <c r="E16" s="81">
        <v>28</v>
      </c>
      <c r="G16" s="81" t="s">
        <v>47</v>
      </c>
      <c r="H16" s="81">
        <v>575</v>
      </c>
      <c r="K16" s="81">
        <v>7.86</v>
      </c>
    </row>
    <row r="17" spans="1:11" x14ac:dyDescent="0.25">
      <c r="A17" s="81">
        <v>1920</v>
      </c>
      <c r="B17" s="81">
        <v>24</v>
      </c>
      <c r="C17" s="81" t="s">
        <v>156</v>
      </c>
      <c r="D17" s="81" t="s">
        <v>153</v>
      </c>
      <c r="E17" s="81">
        <v>36</v>
      </c>
      <c r="G17" s="81" t="s">
        <v>47</v>
      </c>
      <c r="H17" s="81">
        <v>575</v>
      </c>
      <c r="K17" s="81">
        <v>6.88</v>
      </c>
    </row>
    <row r="18" spans="1:11" x14ac:dyDescent="0.25">
      <c r="A18" s="81">
        <v>1920</v>
      </c>
      <c r="B18" s="81">
        <v>25</v>
      </c>
      <c r="C18" s="81" t="s">
        <v>156</v>
      </c>
      <c r="D18" s="81" t="s">
        <v>154</v>
      </c>
      <c r="E18" s="81">
        <v>18</v>
      </c>
      <c r="G18" s="81" t="s">
        <v>47</v>
      </c>
      <c r="H18" s="81">
        <v>1000</v>
      </c>
      <c r="K18" s="81">
        <v>7.32</v>
      </c>
    </row>
    <row r="19" spans="1:11" x14ac:dyDescent="0.25">
      <c r="A19" s="81">
        <v>1920</v>
      </c>
      <c r="B19" s="81">
        <v>26</v>
      </c>
      <c r="C19" s="81" t="s">
        <v>457</v>
      </c>
      <c r="D19" s="81" t="s">
        <v>100</v>
      </c>
      <c r="E19" s="81">
        <v>31.37</v>
      </c>
      <c r="F19" s="81">
        <v>30.22</v>
      </c>
      <c r="G19" s="81" t="s">
        <v>47</v>
      </c>
      <c r="H19" s="81">
        <v>750</v>
      </c>
      <c r="K19" s="81">
        <v>8.0399999999999991</v>
      </c>
    </row>
    <row r="20" spans="1:11" x14ac:dyDescent="0.25">
      <c r="A20" s="81">
        <v>1920</v>
      </c>
      <c r="B20" s="81">
        <v>33</v>
      </c>
      <c r="C20" s="81" t="s">
        <v>1649</v>
      </c>
      <c r="D20" s="81" t="s">
        <v>68</v>
      </c>
      <c r="E20" s="81">
        <v>27.45</v>
      </c>
      <c r="F20" s="81">
        <v>18.27</v>
      </c>
      <c r="G20" s="81" t="s">
        <v>25</v>
      </c>
      <c r="H20" s="81">
        <v>1800</v>
      </c>
      <c r="K20" s="81">
        <v>8.15</v>
      </c>
    </row>
    <row r="21" spans="1:11" x14ac:dyDescent="0.25">
      <c r="A21" s="81">
        <v>1920</v>
      </c>
      <c r="B21" s="81">
        <v>48</v>
      </c>
      <c r="C21" s="81" t="s">
        <v>1649</v>
      </c>
      <c r="D21" s="81" t="s">
        <v>69</v>
      </c>
      <c r="E21" s="81">
        <v>65.53</v>
      </c>
      <c r="F21" s="81">
        <v>65.959999999999994</v>
      </c>
      <c r="G21" s="81" t="s">
        <v>47</v>
      </c>
      <c r="H21" s="81">
        <v>535</v>
      </c>
      <c r="K21" s="81">
        <v>8.3800000000000008</v>
      </c>
    </row>
    <row r="22" spans="1:11" x14ac:dyDescent="0.25">
      <c r="A22" s="81">
        <v>1920</v>
      </c>
      <c r="B22" s="81">
        <v>67</v>
      </c>
      <c r="C22" s="81" t="s">
        <v>1649</v>
      </c>
      <c r="D22" s="81" t="s">
        <v>70</v>
      </c>
      <c r="E22" s="81">
        <v>46.88</v>
      </c>
      <c r="F22" s="81">
        <v>35.22</v>
      </c>
      <c r="G22" s="81" t="s">
        <v>47</v>
      </c>
      <c r="H22" s="81">
        <v>900</v>
      </c>
      <c r="K22" s="81">
        <v>8.39</v>
      </c>
    </row>
    <row r="23" spans="1:11" x14ac:dyDescent="0.25">
      <c r="A23" s="81">
        <v>1921</v>
      </c>
      <c r="B23" s="81">
        <v>70</v>
      </c>
      <c r="C23" s="81" t="s">
        <v>1649</v>
      </c>
      <c r="D23" s="81" t="s">
        <v>71</v>
      </c>
      <c r="E23" s="81">
        <v>31.95</v>
      </c>
      <c r="F23" s="81">
        <v>30.07</v>
      </c>
      <c r="G23" s="81" t="s">
        <v>47</v>
      </c>
      <c r="H23" s="81">
        <v>750</v>
      </c>
      <c r="K23" s="81">
        <v>8.6999999999999993</v>
      </c>
    </row>
    <row r="24" spans="1:11" x14ac:dyDescent="0.25">
      <c r="A24" s="81">
        <v>1921</v>
      </c>
      <c r="B24" s="81">
        <v>79</v>
      </c>
      <c r="C24" s="81" t="s">
        <v>457</v>
      </c>
      <c r="D24" s="81" t="s">
        <v>101</v>
      </c>
      <c r="E24" s="81">
        <v>23.01</v>
      </c>
      <c r="F24" s="81">
        <v>20.12</v>
      </c>
      <c r="G24" s="81" t="s">
        <v>47</v>
      </c>
      <c r="H24" s="81">
        <v>800</v>
      </c>
      <c r="K24" s="81">
        <v>8.86</v>
      </c>
    </row>
    <row r="25" spans="1:11" x14ac:dyDescent="0.25">
      <c r="A25" s="81">
        <v>1922</v>
      </c>
      <c r="B25" s="81">
        <v>87</v>
      </c>
      <c r="C25" s="81" t="s">
        <v>156</v>
      </c>
      <c r="D25" s="81" t="s">
        <v>153</v>
      </c>
      <c r="E25" s="81">
        <v>32</v>
      </c>
      <c r="G25" s="81" t="s">
        <v>47</v>
      </c>
      <c r="H25" s="81">
        <v>1000</v>
      </c>
      <c r="K25" s="81">
        <v>10.19</v>
      </c>
    </row>
    <row r="26" spans="1:11" x14ac:dyDescent="0.25">
      <c r="A26" s="81">
        <v>1922</v>
      </c>
      <c r="B26" s="81">
        <v>88</v>
      </c>
      <c r="C26" s="81" t="s">
        <v>366</v>
      </c>
      <c r="D26" s="81" t="s">
        <v>67</v>
      </c>
      <c r="G26" s="81" t="s">
        <v>47</v>
      </c>
    </row>
    <row r="27" spans="1:11" x14ac:dyDescent="0.25">
      <c r="A27" s="81">
        <v>1923</v>
      </c>
      <c r="B27" s="81">
        <v>90</v>
      </c>
      <c r="C27" s="81" t="s">
        <v>366</v>
      </c>
      <c r="D27" s="81" t="s">
        <v>227</v>
      </c>
      <c r="E27" s="81">
        <v>91.42</v>
      </c>
      <c r="F27" s="81">
        <v>72.400000000000006</v>
      </c>
      <c r="G27" s="81" t="s">
        <v>47</v>
      </c>
      <c r="H27" s="81">
        <v>800</v>
      </c>
      <c r="K27" s="81">
        <v>8.08</v>
      </c>
    </row>
    <row r="28" spans="1:11" x14ac:dyDescent="0.25">
      <c r="A28" s="81">
        <v>1923</v>
      </c>
      <c r="B28" s="81">
        <v>91</v>
      </c>
      <c r="C28" s="81" t="s">
        <v>366</v>
      </c>
      <c r="D28" s="81" t="s">
        <v>67</v>
      </c>
      <c r="E28" s="81">
        <v>25.54</v>
      </c>
      <c r="F28" s="81">
        <v>20.16</v>
      </c>
      <c r="G28" s="81" t="s">
        <v>47</v>
      </c>
      <c r="H28" s="81">
        <v>1050</v>
      </c>
      <c r="I28" s="81">
        <v>1050</v>
      </c>
      <c r="J28" s="81">
        <v>13</v>
      </c>
      <c r="K28" s="81">
        <v>10.1</v>
      </c>
    </row>
    <row r="29" spans="1:11" x14ac:dyDescent="0.25">
      <c r="A29" s="81">
        <v>1923</v>
      </c>
      <c r="B29" s="81">
        <v>95</v>
      </c>
      <c r="C29" s="81" t="s">
        <v>156</v>
      </c>
      <c r="D29" s="81" t="s">
        <v>155</v>
      </c>
      <c r="E29" s="81">
        <v>21.84</v>
      </c>
      <c r="F29" s="81">
        <v>20.09</v>
      </c>
      <c r="G29" s="81" t="s">
        <v>47</v>
      </c>
      <c r="H29" s="81">
        <v>1000</v>
      </c>
      <c r="I29" s="81">
        <v>645</v>
      </c>
      <c r="J29" s="81">
        <v>15.25</v>
      </c>
      <c r="K29" s="81">
        <v>10.15</v>
      </c>
    </row>
    <row r="30" spans="1:11" x14ac:dyDescent="0.25">
      <c r="A30" s="81">
        <v>1923</v>
      </c>
      <c r="B30" s="81">
        <v>97</v>
      </c>
      <c r="C30" s="81" t="s">
        <v>457</v>
      </c>
      <c r="D30" s="81" t="s">
        <v>102</v>
      </c>
      <c r="E30" s="81">
        <v>46.4</v>
      </c>
      <c r="F30" s="81">
        <v>40.659999999999997</v>
      </c>
      <c r="G30" s="81" t="s">
        <v>47</v>
      </c>
      <c r="H30" s="81">
        <v>800</v>
      </c>
      <c r="K30" s="81">
        <v>8.1999999999999993</v>
      </c>
    </row>
    <row r="31" spans="1:11" x14ac:dyDescent="0.25">
      <c r="A31" s="81">
        <v>1924</v>
      </c>
      <c r="B31" s="81">
        <v>102</v>
      </c>
      <c r="C31" s="81" t="s">
        <v>285</v>
      </c>
      <c r="D31" s="81" t="s">
        <v>48</v>
      </c>
      <c r="E31" s="81">
        <v>30.4</v>
      </c>
      <c r="F31" s="81">
        <v>27.11</v>
      </c>
      <c r="G31" s="81" t="s">
        <v>47</v>
      </c>
      <c r="H31" s="81">
        <v>800</v>
      </c>
      <c r="I31" s="81">
        <v>800</v>
      </c>
      <c r="J31" s="81">
        <v>15.25</v>
      </c>
      <c r="K31" s="81">
        <v>9.0299999999999994</v>
      </c>
    </row>
    <row r="32" spans="1:11" x14ac:dyDescent="0.25">
      <c r="A32" s="81">
        <v>1924</v>
      </c>
      <c r="B32" s="81">
        <v>103</v>
      </c>
      <c r="C32" s="81" t="s">
        <v>459</v>
      </c>
      <c r="D32" s="81" t="s">
        <v>213</v>
      </c>
      <c r="E32" s="81">
        <v>70.16</v>
      </c>
      <c r="F32" s="81">
        <v>60.74</v>
      </c>
      <c r="G32" s="81" t="s">
        <v>47</v>
      </c>
      <c r="H32" s="81">
        <v>470</v>
      </c>
      <c r="K32" s="81">
        <v>10.85</v>
      </c>
    </row>
    <row r="33" spans="1:11" x14ac:dyDescent="0.25">
      <c r="A33" s="81">
        <v>1924</v>
      </c>
      <c r="B33" s="81">
        <v>106</v>
      </c>
      <c r="C33" s="81" t="s">
        <v>457</v>
      </c>
      <c r="D33" s="81" t="s">
        <v>103</v>
      </c>
      <c r="E33" s="81">
        <v>37.03</v>
      </c>
      <c r="F33" s="81">
        <v>30.33</v>
      </c>
      <c r="G33" s="81" t="s">
        <v>47</v>
      </c>
      <c r="H33" s="81">
        <v>750</v>
      </c>
      <c r="K33" s="81">
        <v>9.1300000000000008</v>
      </c>
    </row>
    <row r="34" spans="1:11" x14ac:dyDescent="0.25">
      <c r="A34" s="81">
        <v>1924</v>
      </c>
      <c r="B34" s="81">
        <v>107</v>
      </c>
      <c r="C34" s="81" t="s">
        <v>457</v>
      </c>
      <c r="D34" s="81" t="s">
        <v>104</v>
      </c>
      <c r="E34" s="81">
        <v>26.97</v>
      </c>
      <c r="F34" s="81">
        <v>24.24</v>
      </c>
      <c r="G34" s="81" t="s">
        <v>47</v>
      </c>
      <c r="H34" s="81">
        <v>800</v>
      </c>
      <c r="K34" s="81">
        <v>9.44</v>
      </c>
    </row>
    <row r="35" spans="1:11" x14ac:dyDescent="0.25">
      <c r="A35" s="81">
        <v>1924</v>
      </c>
      <c r="B35" s="81">
        <v>109</v>
      </c>
      <c r="C35" s="81" t="s">
        <v>366</v>
      </c>
      <c r="D35" s="81" t="s">
        <v>230</v>
      </c>
      <c r="E35" s="81">
        <v>36.729999999999997</v>
      </c>
      <c r="F35" s="81">
        <v>32.08</v>
      </c>
      <c r="G35" s="81" t="s">
        <v>47</v>
      </c>
      <c r="H35" s="81">
        <v>1000</v>
      </c>
      <c r="K35" s="81">
        <v>10.42</v>
      </c>
    </row>
    <row r="36" spans="1:11" x14ac:dyDescent="0.25">
      <c r="A36" s="81">
        <v>1924</v>
      </c>
      <c r="B36" s="81">
        <v>110</v>
      </c>
      <c r="C36" s="81" t="s">
        <v>366</v>
      </c>
      <c r="D36" s="81" t="s">
        <v>228</v>
      </c>
      <c r="E36" s="81">
        <v>52.59</v>
      </c>
      <c r="F36" s="81">
        <v>45.18</v>
      </c>
      <c r="G36" s="81" t="s">
        <v>47</v>
      </c>
      <c r="H36" s="81">
        <v>850</v>
      </c>
      <c r="K36" s="81">
        <v>8.8000000000000007</v>
      </c>
    </row>
    <row r="37" spans="1:11" x14ac:dyDescent="0.25">
      <c r="A37" s="81">
        <v>1925</v>
      </c>
      <c r="B37" s="81">
        <v>117</v>
      </c>
      <c r="C37" s="81" t="s">
        <v>156</v>
      </c>
      <c r="D37" s="81" t="s">
        <v>156</v>
      </c>
      <c r="E37" s="81">
        <v>20</v>
      </c>
      <c r="G37" s="81" t="s">
        <v>47</v>
      </c>
      <c r="H37" s="81">
        <v>1200</v>
      </c>
      <c r="K37" s="81">
        <v>9.64</v>
      </c>
    </row>
    <row r="38" spans="1:11" x14ac:dyDescent="0.25">
      <c r="A38" s="81">
        <v>1925</v>
      </c>
      <c r="B38" s="81">
        <v>118</v>
      </c>
      <c r="C38" s="81" t="s">
        <v>1649</v>
      </c>
      <c r="D38" s="81" t="s">
        <v>72</v>
      </c>
      <c r="E38" s="81">
        <v>34.76</v>
      </c>
      <c r="F38" s="81">
        <v>30.88</v>
      </c>
      <c r="G38" s="81" t="s">
        <v>47</v>
      </c>
      <c r="H38" s="81">
        <v>825</v>
      </c>
      <c r="K38" s="81">
        <v>9.4499999999999993</v>
      </c>
    </row>
    <row r="39" spans="1:11" x14ac:dyDescent="0.25">
      <c r="A39" s="81">
        <v>1926</v>
      </c>
      <c r="B39" s="81">
        <v>121</v>
      </c>
      <c r="C39" s="81" t="s">
        <v>1649</v>
      </c>
      <c r="D39" s="81" t="s">
        <v>73</v>
      </c>
      <c r="E39" s="81">
        <v>30.91</v>
      </c>
      <c r="F39" s="81">
        <v>28.4</v>
      </c>
      <c r="G39" s="81" t="s">
        <v>47</v>
      </c>
      <c r="H39" s="81">
        <v>1000</v>
      </c>
      <c r="K39" s="81">
        <v>9.58</v>
      </c>
    </row>
    <row r="40" spans="1:11" x14ac:dyDescent="0.25">
      <c r="A40" s="81">
        <v>1926</v>
      </c>
      <c r="B40" s="81">
        <v>122</v>
      </c>
      <c r="C40" s="81" t="s">
        <v>1649</v>
      </c>
      <c r="D40" s="81" t="s">
        <v>74</v>
      </c>
      <c r="E40" s="81">
        <v>49.05</v>
      </c>
      <c r="F40" s="81">
        <v>44.04</v>
      </c>
      <c r="G40" s="81" t="s">
        <v>47</v>
      </c>
      <c r="H40" s="81">
        <v>900</v>
      </c>
      <c r="K40" s="81">
        <v>9.3800000000000008</v>
      </c>
    </row>
    <row r="41" spans="1:11" x14ac:dyDescent="0.25">
      <c r="A41" s="81">
        <v>1926</v>
      </c>
      <c r="B41" s="81">
        <v>127</v>
      </c>
      <c r="C41" s="81" t="s">
        <v>1649</v>
      </c>
      <c r="D41" s="81" t="s">
        <v>75</v>
      </c>
      <c r="E41" s="81">
        <v>35.880000000000003</v>
      </c>
      <c r="F41" s="81">
        <v>32.340000000000003</v>
      </c>
      <c r="G41" s="81" t="s">
        <v>47</v>
      </c>
      <c r="H41" s="81">
        <v>1000</v>
      </c>
      <c r="K41" s="81">
        <v>9.64</v>
      </c>
    </row>
    <row r="42" spans="1:11" x14ac:dyDescent="0.25">
      <c r="A42" s="81">
        <v>1926</v>
      </c>
      <c r="B42" s="81">
        <v>128</v>
      </c>
      <c r="C42" s="81" t="s">
        <v>457</v>
      </c>
      <c r="D42" s="81" t="s">
        <v>105</v>
      </c>
      <c r="E42" s="81">
        <v>42.85</v>
      </c>
      <c r="F42" s="81">
        <v>36.53</v>
      </c>
      <c r="G42" s="81" t="s">
        <v>47</v>
      </c>
      <c r="H42" s="81">
        <v>800</v>
      </c>
      <c r="I42" s="81">
        <v>800</v>
      </c>
      <c r="J42" s="81">
        <v>14</v>
      </c>
      <c r="K42" s="81">
        <v>9.74</v>
      </c>
    </row>
    <row r="43" spans="1:11" x14ac:dyDescent="0.25">
      <c r="A43" s="81">
        <v>1926</v>
      </c>
      <c r="B43" s="81">
        <v>129</v>
      </c>
      <c r="C43" s="81" t="s">
        <v>457</v>
      </c>
      <c r="D43" s="81" t="s">
        <v>106</v>
      </c>
      <c r="E43" s="81">
        <v>31.99</v>
      </c>
      <c r="F43" s="81">
        <v>24.09</v>
      </c>
      <c r="G43" s="81" t="s">
        <v>47</v>
      </c>
      <c r="H43" s="81">
        <v>850</v>
      </c>
      <c r="K43" s="81">
        <v>10.119999999999999</v>
      </c>
    </row>
    <row r="44" spans="1:11" x14ac:dyDescent="0.25">
      <c r="A44" s="81">
        <v>1926</v>
      </c>
      <c r="B44" s="81">
        <v>130</v>
      </c>
      <c r="C44" s="81" t="s">
        <v>156</v>
      </c>
      <c r="D44" s="81" t="s">
        <v>153</v>
      </c>
      <c r="E44" s="81">
        <v>34</v>
      </c>
      <c r="G44" s="81" t="s">
        <v>47</v>
      </c>
      <c r="H44" s="81">
        <v>1050</v>
      </c>
      <c r="K44" s="81">
        <v>10.32</v>
      </c>
    </row>
    <row r="45" spans="1:11" x14ac:dyDescent="0.25">
      <c r="A45" s="81">
        <v>1927</v>
      </c>
      <c r="B45" s="81">
        <v>140</v>
      </c>
      <c r="C45" s="81" t="s">
        <v>457</v>
      </c>
      <c r="D45" s="81" t="s">
        <v>107</v>
      </c>
      <c r="E45" s="81">
        <v>64.56</v>
      </c>
      <c r="F45" s="81">
        <v>50.35</v>
      </c>
      <c r="G45" s="81" t="s">
        <v>47</v>
      </c>
      <c r="H45" s="81">
        <v>850</v>
      </c>
      <c r="K45" s="81">
        <v>10.73</v>
      </c>
    </row>
    <row r="46" spans="1:11" x14ac:dyDescent="0.25">
      <c r="A46" s="81">
        <v>1927</v>
      </c>
      <c r="B46" s="81">
        <v>142</v>
      </c>
      <c r="C46" s="81" t="s">
        <v>156</v>
      </c>
      <c r="D46" s="81" t="s">
        <v>155</v>
      </c>
      <c r="E46" s="81">
        <v>24</v>
      </c>
      <c r="G46" s="81" t="s">
        <v>47</v>
      </c>
      <c r="H46" s="81">
        <v>1025</v>
      </c>
      <c r="I46" s="81">
        <v>660</v>
      </c>
      <c r="J46" s="81">
        <v>15.25</v>
      </c>
      <c r="K46" s="81">
        <v>10.050000000000001</v>
      </c>
    </row>
    <row r="47" spans="1:11" x14ac:dyDescent="0.25">
      <c r="A47" s="81">
        <v>1927</v>
      </c>
      <c r="B47" s="81">
        <v>146</v>
      </c>
      <c r="C47" s="81" t="s">
        <v>285</v>
      </c>
      <c r="D47" s="81" t="s">
        <v>48</v>
      </c>
      <c r="E47" s="81">
        <v>36.979999999999997</v>
      </c>
      <c r="F47" s="81">
        <v>27.45</v>
      </c>
      <c r="G47" s="81" t="s">
        <v>47</v>
      </c>
      <c r="H47" s="81">
        <v>800</v>
      </c>
      <c r="I47" s="81">
        <v>800</v>
      </c>
      <c r="J47" s="81">
        <v>15.25</v>
      </c>
      <c r="K47" s="81">
        <v>10.74</v>
      </c>
    </row>
    <row r="48" spans="1:11" x14ac:dyDescent="0.25">
      <c r="A48" s="81">
        <v>1928</v>
      </c>
      <c r="B48" s="81">
        <v>153</v>
      </c>
      <c r="C48" s="81" t="s">
        <v>285</v>
      </c>
      <c r="D48" s="81" t="s">
        <v>49</v>
      </c>
      <c r="E48" s="81">
        <v>24.97</v>
      </c>
      <c r="F48" s="81">
        <v>20.2</v>
      </c>
      <c r="G48" s="81" t="s">
        <v>47</v>
      </c>
      <c r="H48" s="81">
        <v>950</v>
      </c>
      <c r="I48" s="81">
        <v>950</v>
      </c>
      <c r="J48" s="81">
        <v>13</v>
      </c>
      <c r="K48" s="81">
        <v>8.5500000000000007</v>
      </c>
    </row>
    <row r="49" spans="1:11" x14ac:dyDescent="0.25">
      <c r="A49" s="81">
        <v>1929</v>
      </c>
      <c r="B49" s="81">
        <v>155</v>
      </c>
      <c r="C49" s="81" t="s">
        <v>366</v>
      </c>
      <c r="D49" s="81" t="s">
        <v>229</v>
      </c>
      <c r="E49" s="81">
        <v>44.01</v>
      </c>
      <c r="F49" s="81">
        <v>40.22</v>
      </c>
      <c r="G49" s="81" t="s">
        <v>47</v>
      </c>
      <c r="H49" s="81">
        <v>1100</v>
      </c>
      <c r="I49" s="81">
        <v>780</v>
      </c>
      <c r="J49" s="81">
        <v>13</v>
      </c>
      <c r="K49" s="81">
        <v>9.76</v>
      </c>
    </row>
    <row r="50" spans="1:11" x14ac:dyDescent="0.25">
      <c r="A50" s="81">
        <v>1929</v>
      </c>
      <c r="B50" s="81">
        <v>162</v>
      </c>
      <c r="C50" s="81" t="s">
        <v>1649</v>
      </c>
      <c r="D50" s="81" t="s">
        <v>76</v>
      </c>
      <c r="E50" s="81">
        <v>48.42</v>
      </c>
      <c r="F50" s="81">
        <v>42.3</v>
      </c>
      <c r="G50" s="81" t="s">
        <v>25</v>
      </c>
      <c r="H50" s="81">
        <v>925</v>
      </c>
      <c r="I50" s="81">
        <v>925</v>
      </c>
      <c r="J50" s="81">
        <v>15.5</v>
      </c>
      <c r="K50" s="81">
        <v>9.98</v>
      </c>
    </row>
    <row r="51" spans="1:11" x14ac:dyDescent="0.25">
      <c r="A51" s="81">
        <v>1929</v>
      </c>
      <c r="B51" s="81">
        <v>163</v>
      </c>
      <c r="C51" s="81" t="s">
        <v>1649</v>
      </c>
      <c r="D51" s="81" t="s">
        <v>77</v>
      </c>
      <c r="E51" s="81">
        <v>64.55</v>
      </c>
      <c r="F51" s="81">
        <v>57.39</v>
      </c>
      <c r="G51" s="81" t="s">
        <v>25</v>
      </c>
      <c r="H51" s="81">
        <v>1000</v>
      </c>
      <c r="I51" s="81">
        <v>620</v>
      </c>
      <c r="J51" s="81">
        <v>20</v>
      </c>
      <c r="K51" s="81">
        <v>8.9</v>
      </c>
    </row>
    <row r="52" spans="1:11" x14ac:dyDescent="0.25">
      <c r="A52" s="81">
        <v>1929</v>
      </c>
      <c r="B52" s="81">
        <v>167</v>
      </c>
      <c r="C52" s="81" t="s">
        <v>366</v>
      </c>
      <c r="D52" s="81" t="s">
        <v>231</v>
      </c>
      <c r="E52" s="81">
        <v>29.81</v>
      </c>
      <c r="F52" s="81">
        <v>27.33</v>
      </c>
      <c r="G52" s="81" t="s">
        <v>47</v>
      </c>
      <c r="H52" s="81">
        <v>1100</v>
      </c>
      <c r="I52" s="81">
        <v>975</v>
      </c>
      <c r="J52" s="81">
        <v>10.25</v>
      </c>
      <c r="K52" s="81">
        <v>11.06</v>
      </c>
    </row>
    <row r="53" spans="1:11" x14ac:dyDescent="0.25">
      <c r="A53" s="81">
        <v>1929</v>
      </c>
      <c r="B53" s="81">
        <v>169</v>
      </c>
      <c r="C53" s="81" t="s">
        <v>366</v>
      </c>
      <c r="D53" s="81" t="s">
        <v>232</v>
      </c>
      <c r="E53" s="81">
        <v>28.97</v>
      </c>
      <c r="F53" s="81">
        <v>27.37</v>
      </c>
      <c r="G53" s="81" t="s">
        <v>47</v>
      </c>
      <c r="H53" s="81">
        <v>1100</v>
      </c>
      <c r="I53" s="81">
        <v>975</v>
      </c>
      <c r="J53" s="81">
        <v>10.25</v>
      </c>
      <c r="K53" s="81">
        <v>10.52</v>
      </c>
    </row>
    <row r="54" spans="1:11" x14ac:dyDescent="0.25">
      <c r="A54" s="81">
        <v>1929</v>
      </c>
      <c r="B54" s="81">
        <v>170</v>
      </c>
      <c r="C54" s="81" t="s">
        <v>436</v>
      </c>
      <c r="D54" s="81" t="s">
        <v>94</v>
      </c>
      <c r="E54" s="81">
        <v>35.04</v>
      </c>
      <c r="F54" s="81">
        <v>30.27</v>
      </c>
      <c r="G54" s="81" t="s">
        <v>25</v>
      </c>
      <c r="H54" s="81">
        <v>1200</v>
      </c>
      <c r="I54" s="81">
        <v>1095</v>
      </c>
      <c r="J54" s="81">
        <v>10</v>
      </c>
      <c r="K54" s="81">
        <v>8.25</v>
      </c>
    </row>
    <row r="55" spans="1:11" x14ac:dyDescent="0.25">
      <c r="A55" s="81">
        <v>1930</v>
      </c>
      <c r="B55" s="81">
        <v>173</v>
      </c>
      <c r="C55" s="81" t="s">
        <v>1646</v>
      </c>
      <c r="D55" s="81" t="s">
        <v>59</v>
      </c>
      <c r="E55" s="81">
        <v>23.24</v>
      </c>
      <c r="F55" s="81">
        <v>21.05</v>
      </c>
      <c r="G55" s="81" t="s">
        <v>47</v>
      </c>
      <c r="H55" s="81">
        <v>1100</v>
      </c>
      <c r="I55" s="81">
        <v>1100</v>
      </c>
      <c r="J55" s="81">
        <v>9.5</v>
      </c>
      <c r="K55" s="81">
        <v>7.83</v>
      </c>
    </row>
    <row r="56" spans="1:11" x14ac:dyDescent="0.25">
      <c r="A56" s="81">
        <v>1930</v>
      </c>
      <c r="B56" s="81">
        <v>174</v>
      </c>
      <c r="C56" s="81" t="s">
        <v>1646</v>
      </c>
      <c r="D56" s="81" t="s">
        <v>59</v>
      </c>
      <c r="E56" s="81">
        <v>29.09</v>
      </c>
      <c r="F56" s="81">
        <v>26.12</v>
      </c>
      <c r="G56" s="81" t="s">
        <v>25</v>
      </c>
      <c r="H56" s="81">
        <v>1100</v>
      </c>
      <c r="I56" s="81">
        <v>1100</v>
      </c>
      <c r="J56" s="81">
        <v>9.5</v>
      </c>
      <c r="K56" s="81">
        <v>9.5299999999999994</v>
      </c>
    </row>
    <row r="57" spans="1:11" x14ac:dyDescent="0.25">
      <c r="A57" s="81">
        <v>1930</v>
      </c>
      <c r="B57" s="81">
        <v>175</v>
      </c>
      <c r="C57" s="81" t="s">
        <v>1649</v>
      </c>
      <c r="D57" s="81" t="s">
        <v>78</v>
      </c>
      <c r="E57" s="81">
        <v>25.83</v>
      </c>
      <c r="F57" s="81">
        <v>19.989999999999998</v>
      </c>
      <c r="G57" s="81" t="s">
        <v>48</v>
      </c>
      <c r="H57" s="81">
        <v>1000</v>
      </c>
      <c r="I57" s="81">
        <v>715</v>
      </c>
      <c r="J57" s="81">
        <v>14</v>
      </c>
      <c r="K57" s="81">
        <v>9.81</v>
      </c>
    </row>
    <row r="58" spans="1:11" x14ac:dyDescent="0.25">
      <c r="A58" s="81">
        <v>1930</v>
      </c>
      <c r="B58" s="81">
        <v>176</v>
      </c>
      <c r="C58" s="81" t="s">
        <v>457</v>
      </c>
      <c r="D58" s="81" t="s">
        <v>108</v>
      </c>
      <c r="E58" s="81">
        <v>29.72</v>
      </c>
      <c r="F58" s="81">
        <v>27.11</v>
      </c>
      <c r="G58" s="81" t="s">
        <v>47</v>
      </c>
      <c r="H58" s="81">
        <v>1150</v>
      </c>
      <c r="I58" s="81">
        <v>700</v>
      </c>
      <c r="J58" s="81">
        <v>14.25</v>
      </c>
      <c r="K58" s="81">
        <v>9.86</v>
      </c>
    </row>
    <row r="59" spans="1:11" x14ac:dyDescent="0.25">
      <c r="A59" s="81">
        <v>1930</v>
      </c>
      <c r="B59" s="81">
        <v>180</v>
      </c>
      <c r="C59" s="81" t="s">
        <v>457</v>
      </c>
      <c r="D59" s="81" t="s">
        <v>109</v>
      </c>
      <c r="E59" s="81">
        <v>30.29</v>
      </c>
      <c r="F59" s="81">
        <v>28.3</v>
      </c>
      <c r="G59" s="81" t="s">
        <v>47</v>
      </c>
      <c r="H59" s="81">
        <v>1190</v>
      </c>
      <c r="I59" s="81">
        <v>726</v>
      </c>
      <c r="J59" s="81">
        <v>14.25</v>
      </c>
      <c r="K59" s="81">
        <v>10</v>
      </c>
    </row>
    <row r="60" spans="1:11" x14ac:dyDescent="0.25">
      <c r="A60" s="81">
        <v>1930</v>
      </c>
      <c r="B60" s="81">
        <v>183</v>
      </c>
      <c r="C60" s="81" t="s">
        <v>457</v>
      </c>
      <c r="D60" s="81" t="s">
        <v>110</v>
      </c>
      <c r="E60" s="81">
        <v>49.04</v>
      </c>
      <c r="F60" s="81">
        <v>44.29</v>
      </c>
      <c r="G60" s="81" t="s">
        <v>47</v>
      </c>
      <c r="H60" s="81">
        <v>1125</v>
      </c>
      <c r="I60" s="81">
        <v>596</v>
      </c>
      <c r="J60" s="81">
        <v>16.75</v>
      </c>
      <c r="K60" s="81">
        <v>10.42</v>
      </c>
    </row>
    <row r="61" spans="1:11" x14ac:dyDescent="0.25">
      <c r="A61" s="81">
        <v>1930</v>
      </c>
      <c r="B61" s="81">
        <v>183</v>
      </c>
      <c r="C61" s="81" t="s">
        <v>1388</v>
      </c>
      <c r="D61" s="81" t="s">
        <v>111</v>
      </c>
      <c r="E61" s="81">
        <v>49.04</v>
      </c>
      <c r="F61" s="81">
        <v>44.29</v>
      </c>
      <c r="G61" s="81" t="s">
        <v>47</v>
      </c>
      <c r="H61" s="81">
        <v>1125</v>
      </c>
      <c r="I61" s="81">
        <v>596</v>
      </c>
      <c r="J61" s="81">
        <v>16.75</v>
      </c>
      <c r="K61" s="81">
        <v>10.42</v>
      </c>
    </row>
    <row r="62" spans="1:11" x14ac:dyDescent="0.25">
      <c r="A62" s="81">
        <v>1931</v>
      </c>
      <c r="B62" s="81">
        <v>185</v>
      </c>
      <c r="C62" s="81" t="s">
        <v>459</v>
      </c>
      <c r="D62" s="81" t="s">
        <v>470</v>
      </c>
      <c r="E62" s="81">
        <v>48.37</v>
      </c>
      <c r="F62" s="81">
        <v>43.23</v>
      </c>
      <c r="G62" s="81" t="s">
        <v>25</v>
      </c>
      <c r="H62" s="81">
        <v>1365</v>
      </c>
      <c r="I62" s="81">
        <v>893</v>
      </c>
      <c r="J62" s="81">
        <v>13</v>
      </c>
      <c r="K62" s="81">
        <v>8.6300000000000008</v>
      </c>
    </row>
    <row r="63" spans="1:11" x14ac:dyDescent="0.25">
      <c r="A63" s="81">
        <v>1931</v>
      </c>
      <c r="B63" s="81">
        <v>190</v>
      </c>
      <c r="C63" s="81" t="s">
        <v>285</v>
      </c>
      <c r="D63" s="81" t="s">
        <v>49</v>
      </c>
      <c r="E63" s="81">
        <v>25.36</v>
      </c>
      <c r="F63" s="81">
        <v>24.14</v>
      </c>
      <c r="G63" s="81" t="s">
        <v>50</v>
      </c>
      <c r="H63" s="81">
        <v>950</v>
      </c>
      <c r="I63" s="81">
        <v>950</v>
      </c>
      <c r="J63" s="81">
        <v>13.125</v>
      </c>
      <c r="K63" s="81">
        <v>9.2200000000000006</v>
      </c>
    </row>
    <row r="64" spans="1:11" x14ac:dyDescent="0.25">
      <c r="A64" s="81">
        <v>1931</v>
      </c>
      <c r="B64" s="81">
        <v>194</v>
      </c>
      <c r="C64" s="81" t="s">
        <v>156</v>
      </c>
      <c r="D64" s="81" t="s">
        <v>157</v>
      </c>
      <c r="E64" s="81">
        <v>29</v>
      </c>
      <c r="G64" s="81" t="s">
        <v>25</v>
      </c>
      <c r="H64" s="81">
        <v>1150</v>
      </c>
      <c r="I64" s="81">
        <v>740</v>
      </c>
      <c r="J64" s="81">
        <v>15.25</v>
      </c>
      <c r="K64" s="81">
        <v>9.26</v>
      </c>
    </row>
    <row r="65" spans="1:11" x14ac:dyDescent="0.25">
      <c r="A65" s="81">
        <v>1931</v>
      </c>
      <c r="B65" s="81">
        <v>197</v>
      </c>
      <c r="C65" s="81" t="s">
        <v>1649</v>
      </c>
      <c r="D65" s="81" t="s">
        <v>79</v>
      </c>
      <c r="E65" s="81">
        <v>26.68</v>
      </c>
      <c r="F65" s="81">
        <v>25.09</v>
      </c>
      <c r="G65" s="81" t="s">
        <v>47</v>
      </c>
      <c r="H65" s="81">
        <v>1000</v>
      </c>
      <c r="I65" s="81">
        <v>715</v>
      </c>
      <c r="J65" s="81">
        <v>14</v>
      </c>
      <c r="K65" s="81">
        <v>10.45</v>
      </c>
    </row>
    <row r="66" spans="1:11" x14ac:dyDescent="0.25">
      <c r="A66" s="81">
        <v>1931</v>
      </c>
      <c r="B66" s="81">
        <v>198</v>
      </c>
      <c r="C66" s="81" t="s">
        <v>156</v>
      </c>
      <c r="D66" s="81" t="s">
        <v>158</v>
      </c>
      <c r="E66" s="81">
        <v>32</v>
      </c>
      <c r="G66" s="81" t="s">
        <v>47</v>
      </c>
      <c r="H66" s="81">
        <v>1150</v>
      </c>
      <c r="I66" s="81">
        <v>680</v>
      </c>
      <c r="J66" s="81">
        <v>14.625</v>
      </c>
      <c r="K66" s="81">
        <v>9.11</v>
      </c>
    </row>
    <row r="67" spans="1:11" x14ac:dyDescent="0.25">
      <c r="A67" s="81">
        <v>1932</v>
      </c>
      <c r="B67" s="81">
        <v>210</v>
      </c>
      <c r="C67" s="81" t="s">
        <v>156</v>
      </c>
      <c r="D67" s="81" t="s">
        <v>159</v>
      </c>
      <c r="E67" s="81">
        <v>33</v>
      </c>
      <c r="G67" s="81" t="s">
        <v>47</v>
      </c>
      <c r="H67" s="81">
        <v>1160</v>
      </c>
      <c r="I67" s="81">
        <v>680</v>
      </c>
      <c r="J67" s="81">
        <v>15.25</v>
      </c>
      <c r="K67" s="81">
        <v>10.48</v>
      </c>
    </row>
    <row r="68" spans="1:11" x14ac:dyDescent="0.25">
      <c r="A68" s="81">
        <v>1933</v>
      </c>
      <c r="B68" s="81">
        <v>212</v>
      </c>
      <c r="C68" s="81" t="s">
        <v>156</v>
      </c>
      <c r="D68" s="81" t="s">
        <v>160</v>
      </c>
      <c r="E68" s="81">
        <v>16</v>
      </c>
      <c r="G68" s="81" t="s">
        <v>25</v>
      </c>
      <c r="H68" s="81">
        <v>1400</v>
      </c>
      <c r="I68" s="81">
        <v>800</v>
      </c>
      <c r="J68" s="81">
        <v>12.375</v>
      </c>
      <c r="K68" s="81">
        <v>9.4700000000000006</v>
      </c>
    </row>
    <row r="69" spans="1:11" x14ac:dyDescent="0.25">
      <c r="A69" s="81">
        <v>1933</v>
      </c>
      <c r="B69" s="81">
        <v>220</v>
      </c>
      <c r="C69" s="81" t="s">
        <v>156</v>
      </c>
      <c r="D69" s="81" t="s">
        <v>160</v>
      </c>
      <c r="E69" s="81">
        <v>14</v>
      </c>
      <c r="G69" s="81" t="s">
        <v>47</v>
      </c>
      <c r="H69" s="81">
        <v>1400</v>
      </c>
      <c r="I69" s="81">
        <v>800</v>
      </c>
      <c r="J69" s="81">
        <v>12.375</v>
      </c>
      <c r="K69" s="81">
        <v>9.5</v>
      </c>
    </row>
    <row r="70" spans="1:11" x14ac:dyDescent="0.25">
      <c r="A70" s="81">
        <v>1934</v>
      </c>
      <c r="B70" s="81">
        <v>221</v>
      </c>
      <c r="C70" s="81" t="s">
        <v>156</v>
      </c>
      <c r="D70" s="81" t="s">
        <v>161</v>
      </c>
      <c r="E70" s="81">
        <v>23</v>
      </c>
      <c r="G70" s="81" t="s">
        <v>47</v>
      </c>
      <c r="H70" s="81">
        <v>1200</v>
      </c>
      <c r="I70" s="81">
        <v>650</v>
      </c>
      <c r="J70" s="81">
        <v>14</v>
      </c>
      <c r="K70" s="81">
        <v>10.49</v>
      </c>
    </row>
    <row r="71" spans="1:11" x14ac:dyDescent="0.25">
      <c r="A71" s="81">
        <v>1934</v>
      </c>
      <c r="B71" s="81">
        <v>222</v>
      </c>
      <c r="C71" s="81" t="s">
        <v>285</v>
      </c>
      <c r="D71" s="81" t="s">
        <v>24</v>
      </c>
      <c r="E71" s="81">
        <v>24.71</v>
      </c>
      <c r="F71" s="81">
        <v>23.63</v>
      </c>
      <c r="G71" s="81" t="s">
        <v>50</v>
      </c>
      <c r="H71" s="81">
        <v>975</v>
      </c>
      <c r="I71" s="81">
        <v>975</v>
      </c>
      <c r="J71" s="81">
        <v>12.8125</v>
      </c>
      <c r="K71" s="81">
        <v>10.5</v>
      </c>
    </row>
    <row r="72" spans="1:11" x14ac:dyDescent="0.25">
      <c r="A72" s="81">
        <v>1934</v>
      </c>
      <c r="B72" s="81">
        <v>229</v>
      </c>
      <c r="C72" s="81" t="s">
        <v>156</v>
      </c>
      <c r="D72" s="81" t="s">
        <v>162</v>
      </c>
      <c r="E72" s="81">
        <v>15</v>
      </c>
      <c r="G72" s="81" t="s">
        <v>47</v>
      </c>
      <c r="H72" s="81">
        <v>1700</v>
      </c>
      <c r="I72" s="81">
        <v>790</v>
      </c>
      <c r="J72" s="81">
        <v>13.25</v>
      </c>
      <c r="K72" s="81">
        <v>10.119999999999999</v>
      </c>
    </row>
    <row r="73" spans="1:11" x14ac:dyDescent="0.25">
      <c r="A73" s="81">
        <v>1934</v>
      </c>
      <c r="B73" s="81">
        <v>231</v>
      </c>
      <c r="C73" s="81" t="s">
        <v>156</v>
      </c>
      <c r="D73" s="81" t="s">
        <v>162</v>
      </c>
      <c r="E73" s="81">
        <v>17</v>
      </c>
      <c r="G73" s="81" t="s">
        <v>25</v>
      </c>
      <c r="H73" s="81">
        <v>1700</v>
      </c>
      <c r="I73" s="81">
        <v>790</v>
      </c>
      <c r="J73" s="81">
        <v>13.25</v>
      </c>
      <c r="K73" s="81">
        <v>9.7799999999999994</v>
      </c>
    </row>
    <row r="74" spans="1:11" x14ac:dyDescent="0.25">
      <c r="A74" s="81">
        <v>1935</v>
      </c>
      <c r="B74" s="81">
        <v>232</v>
      </c>
      <c r="C74" s="81" t="s">
        <v>285</v>
      </c>
      <c r="D74" s="81" t="s">
        <v>51</v>
      </c>
      <c r="E74" s="81">
        <v>16.010000000000002</v>
      </c>
      <c r="F74" s="81">
        <v>14.3</v>
      </c>
      <c r="G74" s="81" t="s">
        <v>50</v>
      </c>
      <c r="H74" s="81">
        <v>1150</v>
      </c>
      <c r="I74" s="81">
        <v>1150</v>
      </c>
      <c r="J74" s="81">
        <v>10.625</v>
      </c>
      <c r="K74" s="81">
        <v>10.28</v>
      </c>
    </row>
    <row r="75" spans="1:11" x14ac:dyDescent="0.25">
      <c r="A75" s="81">
        <v>1935</v>
      </c>
      <c r="B75" s="81">
        <v>233</v>
      </c>
      <c r="C75" s="81" t="s">
        <v>1649</v>
      </c>
      <c r="D75" s="81" t="s">
        <v>80</v>
      </c>
      <c r="E75" s="81">
        <v>24.22</v>
      </c>
      <c r="F75" s="81">
        <v>22.19</v>
      </c>
      <c r="G75" s="81" t="s">
        <v>47</v>
      </c>
      <c r="H75" s="81">
        <v>1275</v>
      </c>
      <c r="I75" s="81">
        <v>730</v>
      </c>
      <c r="J75" s="81">
        <v>15.625</v>
      </c>
      <c r="K75" s="81">
        <v>10.130000000000001</v>
      </c>
    </row>
    <row r="76" spans="1:11" x14ac:dyDescent="0.25">
      <c r="A76" s="81">
        <v>1935</v>
      </c>
      <c r="B76" s="81">
        <v>236</v>
      </c>
      <c r="C76" s="81" t="s">
        <v>285</v>
      </c>
      <c r="D76" s="81" t="s">
        <v>48</v>
      </c>
      <c r="E76" s="81">
        <v>41.59</v>
      </c>
      <c r="F76" s="81">
        <v>37.51</v>
      </c>
      <c r="G76" s="81" t="s">
        <v>50</v>
      </c>
      <c r="H76" s="81">
        <v>900</v>
      </c>
      <c r="I76" s="81">
        <v>900</v>
      </c>
      <c r="J76" s="81">
        <v>13.25</v>
      </c>
      <c r="K76" s="81">
        <v>10.48</v>
      </c>
    </row>
    <row r="77" spans="1:11" x14ac:dyDescent="0.25">
      <c r="A77" s="81">
        <v>1935</v>
      </c>
      <c r="B77" s="81">
        <v>246</v>
      </c>
      <c r="C77" s="81" t="s">
        <v>156</v>
      </c>
      <c r="D77" s="81" t="s">
        <v>163</v>
      </c>
      <c r="E77" s="81">
        <v>48.79</v>
      </c>
      <c r="F77" s="81">
        <v>44.1</v>
      </c>
      <c r="G77" s="81" t="s">
        <v>48</v>
      </c>
      <c r="H77" s="81">
        <v>1100</v>
      </c>
      <c r="I77" s="81">
        <v>590</v>
      </c>
      <c r="J77" s="81">
        <v>16.75</v>
      </c>
      <c r="K77" s="81">
        <v>14.69</v>
      </c>
    </row>
    <row r="78" spans="1:11" x14ac:dyDescent="0.25">
      <c r="A78" s="81">
        <v>1935</v>
      </c>
      <c r="B78" s="81">
        <v>247</v>
      </c>
      <c r="C78" s="81" t="s">
        <v>1649</v>
      </c>
      <c r="D78" s="81" t="s">
        <v>81</v>
      </c>
      <c r="E78" s="81">
        <v>33.65</v>
      </c>
      <c r="F78" s="81">
        <v>30.27</v>
      </c>
      <c r="G78" s="81" t="s">
        <v>47</v>
      </c>
      <c r="H78" s="81">
        <v>1150</v>
      </c>
      <c r="I78" s="81">
        <v>822</v>
      </c>
      <c r="J78" s="81">
        <v>14</v>
      </c>
      <c r="K78" s="81">
        <v>10.25</v>
      </c>
    </row>
    <row r="79" spans="1:11" x14ac:dyDescent="0.25">
      <c r="A79" s="81">
        <v>1935</v>
      </c>
      <c r="B79" s="81">
        <v>248</v>
      </c>
      <c r="C79" s="81" t="s">
        <v>1649</v>
      </c>
      <c r="D79" s="81" t="s">
        <v>82</v>
      </c>
      <c r="E79" s="81">
        <v>33.229999999999997</v>
      </c>
      <c r="F79" s="81">
        <v>29.77</v>
      </c>
      <c r="G79" s="81" t="s">
        <v>47</v>
      </c>
      <c r="H79" s="81">
        <v>1150</v>
      </c>
      <c r="I79" s="81">
        <v>822</v>
      </c>
      <c r="J79" s="81">
        <v>14</v>
      </c>
      <c r="K79" s="81">
        <v>9.92</v>
      </c>
    </row>
    <row r="80" spans="1:11" x14ac:dyDescent="0.25">
      <c r="A80" s="81">
        <v>1936</v>
      </c>
      <c r="B80" s="81">
        <v>249</v>
      </c>
      <c r="C80" s="81" t="s">
        <v>1649</v>
      </c>
      <c r="D80" s="81" t="s">
        <v>81</v>
      </c>
      <c r="E80" s="81">
        <v>41.6</v>
      </c>
      <c r="F80" s="81">
        <v>37.22</v>
      </c>
      <c r="G80" s="81" t="s">
        <v>25</v>
      </c>
      <c r="H80" s="81">
        <v>1150</v>
      </c>
      <c r="I80" s="81">
        <v>822</v>
      </c>
      <c r="J80" s="81">
        <v>14</v>
      </c>
      <c r="K80" s="81">
        <v>11.24</v>
      </c>
    </row>
    <row r="81" spans="1:11" x14ac:dyDescent="0.25">
      <c r="A81" s="81">
        <v>1936</v>
      </c>
      <c r="B81" s="81">
        <v>251</v>
      </c>
      <c r="C81" s="81" t="s">
        <v>366</v>
      </c>
      <c r="D81" s="81" t="s">
        <v>233</v>
      </c>
      <c r="E81" s="81">
        <v>19.8</v>
      </c>
      <c r="F81" s="81">
        <v>17.55</v>
      </c>
      <c r="G81" s="81" t="s">
        <v>25</v>
      </c>
      <c r="H81" s="81">
        <v>1425</v>
      </c>
      <c r="I81" s="81">
        <v>990</v>
      </c>
      <c r="J81" s="81">
        <v>10.125</v>
      </c>
      <c r="K81" s="81">
        <v>9.8699999999999992</v>
      </c>
    </row>
    <row r="82" spans="1:11" x14ac:dyDescent="0.25">
      <c r="A82" s="81">
        <v>1936</v>
      </c>
      <c r="B82" s="81">
        <v>252</v>
      </c>
      <c r="C82" s="81" t="s">
        <v>1388</v>
      </c>
      <c r="D82" s="81" t="s">
        <v>112</v>
      </c>
      <c r="E82" s="81">
        <v>28.4</v>
      </c>
      <c r="F82" s="81">
        <v>25.33</v>
      </c>
      <c r="G82" s="81" t="s">
        <v>25</v>
      </c>
      <c r="H82" s="81">
        <v>1500</v>
      </c>
      <c r="I82" s="81">
        <v>775</v>
      </c>
      <c r="J82" s="81">
        <v>12.75</v>
      </c>
      <c r="K82" s="81">
        <v>10.87</v>
      </c>
    </row>
    <row r="83" spans="1:11" x14ac:dyDescent="0.25">
      <c r="A83" s="81">
        <v>1936</v>
      </c>
      <c r="B83" s="81">
        <v>264</v>
      </c>
      <c r="C83" s="81" t="s">
        <v>156</v>
      </c>
      <c r="D83" s="81" t="s">
        <v>161</v>
      </c>
      <c r="E83" s="81">
        <v>27.97</v>
      </c>
      <c r="F83" s="81">
        <v>25.72</v>
      </c>
      <c r="G83" s="81" t="s">
        <v>47</v>
      </c>
      <c r="H83" s="81">
        <v>1200</v>
      </c>
      <c r="I83" s="81">
        <v>650</v>
      </c>
      <c r="J83" s="81">
        <v>15.25</v>
      </c>
      <c r="K83" s="81">
        <v>9.82</v>
      </c>
    </row>
    <row r="84" spans="1:11" x14ac:dyDescent="0.25">
      <c r="A84" s="81">
        <v>1936</v>
      </c>
      <c r="B84" s="81">
        <v>267</v>
      </c>
      <c r="C84" s="81" t="s">
        <v>1388</v>
      </c>
      <c r="D84" s="81" t="s">
        <v>113</v>
      </c>
      <c r="E84" s="81">
        <v>27.15</v>
      </c>
      <c r="F84" s="81">
        <v>24.8</v>
      </c>
      <c r="G84" s="81" t="s">
        <v>47</v>
      </c>
      <c r="H84" s="81">
        <v>1500</v>
      </c>
      <c r="I84" s="81">
        <v>775</v>
      </c>
      <c r="J84" s="81">
        <v>12.75</v>
      </c>
      <c r="K84" s="81">
        <v>10.4</v>
      </c>
    </row>
    <row r="85" spans="1:11" x14ac:dyDescent="0.25">
      <c r="A85" s="81">
        <v>1936</v>
      </c>
      <c r="B85" s="81">
        <v>268</v>
      </c>
      <c r="C85" s="81" t="s">
        <v>156</v>
      </c>
      <c r="D85" s="81" t="s">
        <v>164</v>
      </c>
      <c r="E85" s="81">
        <v>45.69</v>
      </c>
      <c r="F85" s="81">
        <v>43.39</v>
      </c>
      <c r="G85" s="81" t="s">
        <v>47</v>
      </c>
      <c r="H85" s="81">
        <v>1600</v>
      </c>
      <c r="I85" s="81">
        <v>600</v>
      </c>
      <c r="J85" s="81">
        <v>16.75</v>
      </c>
      <c r="K85" s="81">
        <v>9.8800000000000008</v>
      </c>
    </row>
    <row r="86" spans="1:11" x14ac:dyDescent="0.25">
      <c r="A86" s="81">
        <v>1936</v>
      </c>
      <c r="B86" s="81">
        <v>269</v>
      </c>
      <c r="C86" s="81" t="s">
        <v>156</v>
      </c>
      <c r="D86" s="81" t="s">
        <v>164</v>
      </c>
      <c r="E86" s="81">
        <v>49</v>
      </c>
      <c r="G86" s="81" t="s">
        <v>47</v>
      </c>
      <c r="H86" s="81">
        <v>1750</v>
      </c>
      <c r="I86" s="81">
        <v>645</v>
      </c>
      <c r="J86" s="81">
        <v>16.75</v>
      </c>
      <c r="K86" s="81">
        <v>10.16</v>
      </c>
    </row>
    <row r="87" spans="1:11" x14ac:dyDescent="0.25">
      <c r="A87" s="81">
        <v>1936</v>
      </c>
      <c r="B87" s="81">
        <v>270</v>
      </c>
      <c r="C87" s="81" t="s">
        <v>1649</v>
      </c>
      <c r="D87" s="81" t="s">
        <v>83</v>
      </c>
      <c r="E87" s="81">
        <v>44.75</v>
      </c>
      <c r="F87" s="81">
        <v>41.26</v>
      </c>
      <c r="G87" s="81" t="s">
        <v>47</v>
      </c>
      <c r="H87" s="81">
        <v>1075</v>
      </c>
      <c r="I87" s="81">
        <v>650</v>
      </c>
      <c r="J87" s="81">
        <v>16</v>
      </c>
      <c r="K87" s="81">
        <v>11.37</v>
      </c>
    </row>
    <row r="88" spans="1:11" x14ac:dyDescent="0.25">
      <c r="A88" s="81">
        <v>1936</v>
      </c>
      <c r="B88" s="81">
        <v>276</v>
      </c>
      <c r="C88" s="81" t="s">
        <v>156</v>
      </c>
      <c r="D88" s="81" t="s">
        <v>161</v>
      </c>
      <c r="E88" s="81">
        <v>27</v>
      </c>
      <c r="G88" s="81" t="s">
        <v>47</v>
      </c>
      <c r="H88" s="81">
        <v>1200</v>
      </c>
      <c r="I88" s="81">
        <v>650</v>
      </c>
      <c r="J88" s="81">
        <v>14</v>
      </c>
      <c r="K88" s="81">
        <v>10.5</v>
      </c>
    </row>
    <row r="89" spans="1:11" x14ac:dyDescent="0.25">
      <c r="A89" s="81">
        <v>1937</v>
      </c>
      <c r="B89" s="81">
        <v>283</v>
      </c>
      <c r="C89" s="81" t="s">
        <v>1388</v>
      </c>
      <c r="D89" s="81" t="s">
        <v>114</v>
      </c>
      <c r="E89" s="81">
        <v>27.79</v>
      </c>
      <c r="F89" s="81">
        <v>25.14</v>
      </c>
      <c r="G89" s="81" t="s">
        <v>25</v>
      </c>
      <c r="H89" s="81">
        <v>1500</v>
      </c>
      <c r="I89" s="81">
        <v>775</v>
      </c>
      <c r="J89" s="81">
        <v>12.75</v>
      </c>
      <c r="K89" s="81">
        <v>10.54</v>
      </c>
    </row>
    <row r="90" spans="1:11" x14ac:dyDescent="0.25">
      <c r="A90" s="81">
        <v>1937</v>
      </c>
      <c r="B90" s="81">
        <v>284</v>
      </c>
      <c r="C90" s="81" t="s">
        <v>1388</v>
      </c>
      <c r="D90" s="81" t="s">
        <v>115</v>
      </c>
      <c r="E90" s="81">
        <v>26.75</v>
      </c>
      <c r="F90" s="81">
        <v>24.19</v>
      </c>
      <c r="G90" s="81" t="s">
        <v>47</v>
      </c>
      <c r="H90" s="81">
        <v>1500</v>
      </c>
      <c r="I90" s="81">
        <v>775</v>
      </c>
      <c r="J90" s="81">
        <v>12.75</v>
      </c>
      <c r="K90" s="81">
        <v>10.48</v>
      </c>
    </row>
    <row r="91" spans="1:11" x14ac:dyDescent="0.25">
      <c r="A91" s="81">
        <v>1937</v>
      </c>
      <c r="B91" s="81">
        <v>290</v>
      </c>
      <c r="C91" s="81" t="s">
        <v>1649</v>
      </c>
      <c r="D91" s="81" t="s">
        <v>84</v>
      </c>
      <c r="E91" s="81">
        <v>26.84</v>
      </c>
      <c r="F91" s="81">
        <v>23.62</v>
      </c>
      <c r="G91" s="81" t="s">
        <v>47</v>
      </c>
      <c r="H91" s="81">
        <v>1500</v>
      </c>
      <c r="I91" s="81">
        <v>786</v>
      </c>
      <c r="J91" s="81">
        <v>14</v>
      </c>
      <c r="K91" s="81">
        <v>10.06</v>
      </c>
    </row>
    <row r="92" spans="1:11" x14ac:dyDescent="0.25">
      <c r="A92" s="81">
        <v>1937</v>
      </c>
      <c r="B92" s="81">
        <v>295</v>
      </c>
      <c r="C92" s="81" t="s">
        <v>285</v>
      </c>
      <c r="D92" s="81" t="s">
        <v>25</v>
      </c>
      <c r="E92" s="81">
        <v>35.909999999999997</v>
      </c>
      <c r="F92" s="81">
        <v>31.51</v>
      </c>
      <c r="G92" s="81" t="s">
        <v>50</v>
      </c>
      <c r="H92" s="81">
        <v>975</v>
      </c>
      <c r="I92" s="81">
        <v>975</v>
      </c>
      <c r="J92" s="81">
        <v>12.8125</v>
      </c>
      <c r="K92" s="81">
        <v>10.66</v>
      </c>
    </row>
    <row r="93" spans="1:11" x14ac:dyDescent="0.25">
      <c r="A93" s="81">
        <v>1938</v>
      </c>
      <c r="B93" s="81">
        <v>297</v>
      </c>
      <c r="C93" s="81" t="s">
        <v>156</v>
      </c>
      <c r="D93" s="81" t="s">
        <v>165</v>
      </c>
      <c r="E93" s="81">
        <v>17</v>
      </c>
      <c r="G93" s="81" t="s">
        <v>47</v>
      </c>
      <c r="H93" s="81">
        <v>1650</v>
      </c>
      <c r="I93" s="81">
        <v>780</v>
      </c>
      <c r="J93" s="81">
        <v>12.375</v>
      </c>
      <c r="K93" s="81">
        <v>10.86</v>
      </c>
    </row>
    <row r="94" spans="1:11" x14ac:dyDescent="0.25">
      <c r="A94" s="81">
        <v>1938</v>
      </c>
      <c r="B94" s="81">
        <v>300</v>
      </c>
      <c r="C94" s="81" t="s">
        <v>1388</v>
      </c>
      <c r="D94" s="81" t="s">
        <v>116</v>
      </c>
      <c r="E94" s="81">
        <v>38.78</v>
      </c>
      <c r="F94" s="81">
        <v>36.33</v>
      </c>
      <c r="G94" s="81" t="s">
        <v>47</v>
      </c>
      <c r="H94" s="81">
        <v>1200</v>
      </c>
      <c r="I94" s="81">
        <v>731</v>
      </c>
      <c r="J94" s="81">
        <v>14.5</v>
      </c>
      <c r="K94" s="81">
        <v>11</v>
      </c>
    </row>
    <row r="95" spans="1:11" x14ac:dyDescent="0.25">
      <c r="A95" s="81">
        <v>1938</v>
      </c>
      <c r="B95" s="81">
        <v>301</v>
      </c>
      <c r="C95" s="81" t="s">
        <v>1388</v>
      </c>
      <c r="D95" s="81" t="s">
        <v>117</v>
      </c>
      <c r="E95" s="81">
        <v>39.32</v>
      </c>
      <c r="F95" s="81">
        <v>35.200000000000003</v>
      </c>
      <c r="G95" s="81" t="s">
        <v>47</v>
      </c>
      <c r="H95" s="81">
        <v>1200</v>
      </c>
      <c r="I95" s="81">
        <v>731</v>
      </c>
      <c r="J95" s="81">
        <v>14.5</v>
      </c>
      <c r="K95" s="81">
        <v>11.41</v>
      </c>
    </row>
    <row r="96" spans="1:11" x14ac:dyDescent="0.25">
      <c r="A96" s="81">
        <v>1938</v>
      </c>
      <c r="B96" s="81">
        <v>302</v>
      </c>
      <c r="C96" s="81" t="s">
        <v>436</v>
      </c>
      <c r="D96" s="81" t="s">
        <v>51</v>
      </c>
      <c r="E96" s="81">
        <v>15.68</v>
      </c>
      <c r="F96" s="81">
        <v>14</v>
      </c>
      <c r="G96" s="81" t="s">
        <v>50</v>
      </c>
      <c r="H96" s="81">
        <v>1400</v>
      </c>
      <c r="I96" s="81">
        <v>1050</v>
      </c>
      <c r="J96" s="81">
        <v>8</v>
      </c>
      <c r="K96" s="81">
        <v>11.14</v>
      </c>
    </row>
    <row r="97" spans="1:11" x14ac:dyDescent="0.25">
      <c r="A97" s="81">
        <v>1938</v>
      </c>
      <c r="B97" s="81">
        <v>304</v>
      </c>
      <c r="C97" s="81" t="s">
        <v>436</v>
      </c>
      <c r="D97" s="81" t="s">
        <v>437</v>
      </c>
      <c r="E97" s="81">
        <v>29.93</v>
      </c>
      <c r="F97" s="81">
        <v>26.8</v>
      </c>
      <c r="G97" s="81" t="s">
        <v>25</v>
      </c>
      <c r="H97" s="81">
        <v>1300</v>
      </c>
      <c r="I97" s="81">
        <v>1170</v>
      </c>
      <c r="J97" s="81">
        <v>9</v>
      </c>
      <c r="K97" s="81">
        <v>11.55</v>
      </c>
    </row>
    <row r="98" spans="1:11" x14ac:dyDescent="0.25">
      <c r="A98" s="81">
        <v>1938</v>
      </c>
      <c r="B98" s="81">
        <v>305</v>
      </c>
      <c r="C98" s="81" t="s">
        <v>285</v>
      </c>
      <c r="D98" s="81" t="s">
        <v>51</v>
      </c>
      <c r="E98" s="81">
        <v>18.53</v>
      </c>
      <c r="F98" s="81">
        <v>16.940000000000001</v>
      </c>
      <c r="G98" s="81" t="s">
        <v>50</v>
      </c>
      <c r="H98" s="81">
        <v>1150</v>
      </c>
      <c r="I98" s="81">
        <v>1150</v>
      </c>
      <c r="J98" s="81">
        <v>10.625</v>
      </c>
      <c r="K98" s="81">
        <v>10.19</v>
      </c>
    </row>
    <row r="99" spans="1:11" x14ac:dyDescent="0.25">
      <c r="A99" s="81">
        <v>1938</v>
      </c>
      <c r="B99" s="81">
        <v>310</v>
      </c>
      <c r="C99" s="81" t="s">
        <v>1649</v>
      </c>
      <c r="D99" s="81" t="s">
        <v>85</v>
      </c>
      <c r="E99" s="81">
        <v>42.88</v>
      </c>
      <c r="F99" s="81">
        <v>38.31</v>
      </c>
      <c r="G99" s="81" t="s">
        <v>25</v>
      </c>
      <c r="H99" s="81">
        <v>1275</v>
      </c>
      <c r="I99" s="81">
        <v>733</v>
      </c>
      <c r="J99" s="81">
        <v>15.5</v>
      </c>
      <c r="K99" s="81">
        <v>10.26</v>
      </c>
    </row>
    <row r="100" spans="1:11" x14ac:dyDescent="0.25">
      <c r="A100" s="81">
        <v>1938</v>
      </c>
      <c r="B100" s="81">
        <v>311</v>
      </c>
      <c r="C100" s="81" t="s">
        <v>1649</v>
      </c>
      <c r="D100" s="81" t="s">
        <v>85</v>
      </c>
      <c r="E100" s="81">
        <v>36.479999999999997</v>
      </c>
      <c r="F100" s="81">
        <v>31.47</v>
      </c>
      <c r="G100" s="81" t="s">
        <v>47</v>
      </c>
      <c r="H100" s="81">
        <v>1275</v>
      </c>
      <c r="I100" s="81">
        <v>733</v>
      </c>
      <c r="J100" s="81">
        <v>15.5</v>
      </c>
      <c r="K100" s="81">
        <v>10.54</v>
      </c>
    </row>
    <row r="101" spans="1:11" x14ac:dyDescent="0.25">
      <c r="A101" s="81">
        <v>1938</v>
      </c>
      <c r="B101" s="81">
        <v>312</v>
      </c>
      <c r="C101" s="81" t="s">
        <v>285</v>
      </c>
      <c r="D101" s="81" t="s">
        <v>52</v>
      </c>
      <c r="E101" s="81">
        <v>14.84</v>
      </c>
      <c r="F101" s="81">
        <v>13.01</v>
      </c>
      <c r="G101" s="81" t="s">
        <v>50</v>
      </c>
      <c r="H101" s="81">
        <v>1400</v>
      </c>
      <c r="I101" s="81">
        <v>1400</v>
      </c>
      <c r="J101" s="81">
        <v>12.25</v>
      </c>
      <c r="K101" s="81">
        <v>11.72</v>
      </c>
    </row>
    <row r="102" spans="1:11" x14ac:dyDescent="0.25">
      <c r="A102" s="81">
        <v>1938</v>
      </c>
      <c r="B102" s="81">
        <v>313</v>
      </c>
      <c r="C102" s="81" t="s">
        <v>285</v>
      </c>
      <c r="D102" s="81" t="s">
        <v>53</v>
      </c>
      <c r="E102" s="81">
        <v>10.42</v>
      </c>
      <c r="F102" s="81">
        <v>9.2799999999999994</v>
      </c>
      <c r="G102" s="81" t="s">
        <v>25</v>
      </c>
      <c r="H102" s="81">
        <v>1550</v>
      </c>
      <c r="I102" s="81">
        <v>1480</v>
      </c>
      <c r="J102" s="81">
        <v>6.75</v>
      </c>
      <c r="K102" s="81">
        <v>9.81</v>
      </c>
    </row>
    <row r="103" spans="1:11" x14ac:dyDescent="0.25">
      <c r="A103" s="81">
        <v>1939</v>
      </c>
      <c r="B103" s="81">
        <v>317</v>
      </c>
      <c r="C103" s="81" t="s">
        <v>1649</v>
      </c>
      <c r="D103" s="81" t="s">
        <v>86</v>
      </c>
      <c r="E103" s="81">
        <v>55.08</v>
      </c>
      <c r="F103" s="81">
        <v>49.02</v>
      </c>
      <c r="G103" s="81" t="s">
        <v>25</v>
      </c>
      <c r="H103" s="81">
        <v>1075</v>
      </c>
      <c r="I103" s="81">
        <v>650</v>
      </c>
      <c r="J103" s="81">
        <v>16</v>
      </c>
      <c r="K103" s="81">
        <v>11.4</v>
      </c>
    </row>
    <row r="104" spans="1:11" x14ac:dyDescent="0.25">
      <c r="A104" s="81">
        <v>1939</v>
      </c>
      <c r="B104" s="81">
        <v>319</v>
      </c>
      <c r="C104" s="81" t="s">
        <v>1649</v>
      </c>
      <c r="D104" s="81" t="s">
        <v>87</v>
      </c>
      <c r="E104" s="81">
        <v>42.71</v>
      </c>
      <c r="F104" s="81">
        <v>38.770000000000003</v>
      </c>
      <c r="G104" s="81" t="s">
        <v>25</v>
      </c>
      <c r="H104" s="81">
        <v>1275</v>
      </c>
      <c r="I104" s="81">
        <v>733</v>
      </c>
      <c r="J104" s="81">
        <v>15.5</v>
      </c>
      <c r="K104" s="81">
        <v>10.59</v>
      </c>
    </row>
    <row r="105" spans="1:11" x14ac:dyDescent="0.25">
      <c r="A105" s="81">
        <v>1939</v>
      </c>
      <c r="B105" s="81">
        <v>327</v>
      </c>
      <c r="C105" s="81" t="s">
        <v>156</v>
      </c>
      <c r="D105" s="81" t="s">
        <v>166</v>
      </c>
      <c r="E105" s="81">
        <v>34</v>
      </c>
      <c r="G105" s="81" t="s">
        <v>47</v>
      </c>
      <c r="H105" s="81">
        <v>1450</v>
      </c>
      <c r="I105" s="81">
        <v>900</v>
      </c>
      <c r="J105" s="81">
        <v>11</v>
      </c>
      <c r="K105" s="81">
        <v>12.5</v>
      </c>
    </row>
    <row r="106" spans="1:11" x14ac:dyDescent="0.25">
      <c r="A106" s="81">
        <v>1939</v>
      </c>
      <c r="B106" s="81">
        <v>328</v>
      </c>
      <c r="C106" s="81" t="s">
        <v>156</v>
      </c>
      <c r="D106" s="81" t="s">
        <v>166</v>
      </c>
      <c r="E106" s="81">
        <v>36.659999999999997</v>
      </c>
      <c r="F106" s="81">
        <v>33.46</v>
      </c>
      <c r="G106" s="81" t="s">
        <v>25</v>
      </c>
      <c r="H106" s="81">
        <v>1450</v>
      </c>
      <c r="I106" s="81">
        <v>900</v>
      </c>
      <c r="J106" s="81">
        <v>11</v>
      </c>
      <c r="K106" s="81">
        <v>12.16</v>
      </c>
    </row>
    <row r="107" spans="1:11" x14ac:dyDescent="0.25">
      <c r="A107" s="81">
        <v>1939</v>
      </c>
      <c r="B107" s="81">
        <v>329</v>
      </c>
      <c r="C107" s="81" t="s">
        <v>156</v>
      </c>
      <c r="D107" s="81" t="s">
        <v>167</v>
      </c>
      <c r="E107" s="81">
        <v>18</v>
      </c>
      <c r="G107" s="81" t="s">
        <v>25</v>
      </c>
      <c r="H107" s="81">
        <v>1400</v>
      </c>
      <c r="I107" s="81">
        <v>1150</v>
      </c>
      <c r="J107" s="81">
        <v>8.5</v>
      </c>
      <c r="K107" s="81">
        <v>11.97</v>
      </c>
    </row>
    <row r="108" spans="1:11" x14ac:dyDescent="0.25">
      <c r="A108" s="81">
        <v>1939</v>
      </c>
      <c r="B108" s="81">
        <v>330</v>
      </c>
      <c r="C108" s="81" t="s">
        <v>156</v>
      </c>
      <c r="D108" s="81" t="s">
        <v>167</v>
      </c>
      <c r="E108" s="81">
        <v>16</v>
      </c>
      <c r="G108" s="81" t="s">
        <v>47</v>
      </c>
      <c r="H108" s="81">
        <v>1400</v>
      </c>
      <c r="I108" s="81">
        <v>1150</v>
      </c>
      <c r="J108" s="81">
        <v>8.5</v>
      </c>
      <c r="K108" s="81">
        <v>11.9</v>
      </c>
    </row>
    <row r="109" spans="1:11" x14ac:dyDescent="0.25">
      <c r="A109" s="81">
        <v>1939</v>
      </c>
      <c r="B109" s="81">
        <v>331</v>
      </c>
      <c r="C109" s="81" t="s">
        <v>156</v>
      </c>
      <c r="D109" s="81" t="s">
        <v>168</v>
      </c>
      <c r="E109" s="81">
        <v>18</v>
      </c>
      <c r="G109" s="81" t="s">
        <v>25</v>
      </c>
      <c r="H109" s="81">
        <v>1400</v>
      </c>
      <c r="I109" s="81">
        <v>1150</v>
      </c>
      <c r="J109" s="81">
        <v>8.5</v>
      </c>
      <c r="K109" s="81">
        <v>11.89</v>
      </c>
    </row>
    <row r="110" spans="1:11" x14ac:dyDescent="0.25">
      <c r="A110" s="81">
        <v>1939</v>
      </c>
      <c r="B110" s="81">
        <v>332</v>
      </c>
      <c r="C110" s="81" t="s">
        <v>156</v>
      </c>
      <c r="D110" s="81" t="s">
        <v>168</v>
      </c>
      <c r="E110" s="81">
        <v>16</v>
      </c>
      <c r="G110" s="81" t="s">
        <v>47</v>
      </c>
      <c r="H110" s="81">
        <v>1400</v>
      </c>
      <c r="I110" s="81">
        <v>1150</v>
      </c>
      <c r="J110" s="81">
        <v>8.5</v>
      </c>
      <c r="K110" s="81">
        <v>11.82</v>
      </c>
    </row>
    <row r="111" spans="1:11" x14ac:dyDescent="0.25">
      <c r="A111" s="81">
        <v>1939</v>
      </c>
      <c r="B111" s="81">
        <v>333</v>
      </c>
      <c r="C111" s="81" t="s">
        <v>156</v>
      </c>
      <c r="D111" s="81" t="s">
        <v>169</v>
      </c>
      <c r="E111" s="81">
        <v>26</v>
      </c>
      <c r="F111" s="81">
        <v>23.83</v>
      </c>
      <c r="G111" s="81" t="s">
        <v>25</v>
      </c>
      <c r="H111" s="81">
        <v>1650</v>
      </c>
      <c r="I111" s="81">
        <v>1020</v>
      </c>
      <c r="J111" s="81">
        <v>9.75</v>
      </c>
      <c r="K111" s="81">
        <v>11.7</v>
      </c>
    </row>
    <row r="112" spans="1:11" x14ac:dyDescent="0.25">
      <c r="A112" s="81">
        <v>1939</v>
      </c>
      <c r="B112" s="81">
        <v>334</v>
      </c>
      <c r="C112" s="81" t="s">
        <v>156</v>
      </c>
      <c r="D112" s="81" t="s">
        <v>169</v>
      </c>
      <c r="E112" s="81">
        <v>23</v>
      </c>
      <c r="G112" s="81" t="s">
        <v>47</v>
      </c>
      <c r="H112" s="81">
        <v>1650</v>
      </c>
      <c r="I112" s="81">
        <v>1020</v>
      </c>
      <c r="J112" s="81">
        <v>9.75</v>
      </c>
      <c r="K112" s="81">
        <v>11.75</v>
      </c>
    </row>
    <row r="113" spans="1:11" x14ac:dyDescent="0.25">
      <c r="A113" s="81">
        <v>1939</v>
      </c>
      <c r="B113" s="81">
        <v>335</v>
      </c>
      <c r="C113" s="81" t="s">
        <v>285</v>
      </c>
      <c r="D113" s="81" t="s">
        <v>24</v>
      </c>
      <c r="E113" s="81">
        <v>29.59</v>
      </c>
      <c r="F113" s="81">
        <v>26.36</v>
      </c>
      <c r="G113" s="81" t="s">
        <v>50</v>
      </c>
      <c r="H113" s="81">
        <v>975</v>
      </c>
      <c r="I113" s="81">
        <v>975</v>
      </c>
      <c r="J113" s="81">
        <v>12.75</v>
      </c>
      <c r="K113" s="81">
        <v>11</v>
      </c>
    </row>
    <row r="114" spans="1:11" x14ac:dyDescent="0.25">
      <c r="A114" s="81">
        <v>1940</v>
      </c>
      <c r="B114" s="81">
        <v>339</v>
      </c>
      <c r="C114" s="81" t="s">
        <v>1647</v>
      </c>
      <c r="D114" s="81" t="s">
        <v>60</v>
      </c>
      <c r="E114" s="81">
        <v>23.56</v>
      </c>
      <c r="F114" s="81">
        <v>20.239999999999998</v>
      </c>
      <c r="G114" s="81" t="s">
        <v>25</v>
      </c>
      <c r="H114" s="81">
        <v>2000</v>
      </c>
      <c r="I114" s="81">
        <v>1360</v>
      </c>
      <c r="J114" s="81">
        <v>9</v>
      </c>
      <c r="K114" s="81">
        <v>8.76</v>
      </c>
    </row>
    <row r="115" spans="1:11" x14ac:dyDescent="0.25">
      <c r="A115" s="81">
        <v>1940</v>
      </c>
      <c r="B115" s="81">
        <v>340</v>
      </c>
      <c r="C115" s="81" t="s">
        <v>366</v>
      </c>
      <c r="D115" s="81" t="s">
        <v>234</v>
      </c>
      <c r="E115" s="81">
        <v>37.28</v>
      </c>
      <c r="F115" s="81">
        <v>32.94</v>
      </c>
      <c r="G115" s="81" t="s">
        <v>25</v>
      </c>
      <c r="H115" s="81">
        <v>1100</v>
      </c>
      <c r="I115" s="81">
        <v>845</v>
      </c>
      <c r="J115" s="81">
        <v>11.75</v>
      </c>
      <c r="K115" s="81">
        <v>12.07</v>
      </c>
    </row>
    <row r="116" spans="1:11" x14ac:dyDescent="0.25">
      <c r="A116" s="81">
        <v>1940</v>
      </c>
      <c r="B116" s="81">
        <v>341</v>
      </c>
      <c r="C116" s="81" t="s">
        <v>1649</v>
      </c>
      <c r="D116" s="81" t="s">
        <v>88</v>
      </c>
      <c r="E116" s="81">
        <v>23.22</v>
      </c>
      <c r="F116" s="81">
        <v>20.52</v>
      </c>
      <c r="G116" s="81" t="s">
        <v>25</v>
      </c>
      <c r="H116" s="81">
        <v>1400</v>
      </c>
      <c r="I116" s="81">
        <v>933</v>
      </c>
      <c r="J116" s="81">
        <v>12.25</v>
      </c>
      <c r="K116" s="81">
        <v>9.9700000000000006</v>
      </c>
    </row>
    <row r="117" spans="1:11" x14ac:dyDescent="0.25">
      <c r="A117" s="81">
        <v>1940</v>
      </c>
      <c r="B117" s="81">
        <v>348</v>
      </c>
      <c r="C117" s="81" t="s">
        <v>366</v>
      </c>
      <c r="D117" s="81" t="s">
        <v>235</v>
      </c>
      <c r="E117" s="81">
        <v>24.48</v>
      </c>
      <c r="F117" s="81">
        <v>22.07</v>
      </c>
      <c r="G117" s="81" t="s">
        <v>25</v>
      </c>
      <c r="H117" s="81">
        <v>1650</v>
      </c>
      <c r="I117" s="81">
        <v>1120</v>
      </c>
      <c r="J117" s="81">
        <v>10.25</v>
      </c>
      <c r="K117" s="81">
        <v>11</v>
      </c>
    </row>
    <row r="118" spans="1:11" x14ac:dyDescent="0.25">
      <c r="A118" s="81">
        <v>1940</v>
      </c>
      <c r="B118" s="81">
        <v>349</v>
      </c>
      <c r="C118" s="81" t="s">
        <v>366</v>
      </c>
      <c r="D118" s="81" t="s">
        <v>48</v>
      </c>
      <c r="E118" s="81">
        <v>35.36</v>
      </c>
      <c r="F118" s="81">
        <v>31.87</v>
      </c>
      <c r="G118" s="81" t="s">
        <v>47</v>
      </c>
      <c r="H118" s="81">
        <v>1200</v>
      </c>
      <c r="I118" s="81">
        <v>1060</v>
      </c>
      <c r="J118" s="81">
        <v>10.25</v>
      </c>
      <c r="K118" s="81">
        <v>12.81</v>
      </c>
    </row>
    <row r="119" spans="1:11" x14ac:dyDescent="0.25">
      <c r="A119" s="81">
        <v>1940</v>
      </c>
      <c r="B119" s="81">
        <v>350</v>
      </c>
      <c r="C119" s="81" t="s">
        <v>285</v>
      </c>
      <c r="D119" s="81" t="s">
        <v>48</v>
      </c>
      <c r="E119" s="81">
        <v>42.05</v>
      </c>
      <c r="F119" s="81">
        <v>38.15</v>
      </c>
      <c r="G119" s="81" t="s">
        <v>50</v>
      </c>
      <c r="H119" s="81">
        <v>900</v>
      </c>
      <c r="I119" s="81">
        <v>900</v>
      </c>
      <c r="J119" s="81">
        <v>13.25</v>
      </c>
      <c r="K119" s="81">
        <v>9.85</v>
      </c>
    </row>
    <row r="120" spans="1:11" x14ac:dyDescent="0.25">
      <c r="A120" s="81">
        <v>1940</v>
      </c>
      <c r="B120" s="81">
        <v>351</v>
      </c>
      <c r="C120" s="81" t="s">
        <v>1388</v>
      </c>
      <c r="D120" s="81" t="s">
        <v>112</v>
      </c>
      <c r="E120" s="81">
        <v>31.52</v>
      </c>
      <c r="F120" s="81">
        <v>28.46</v>
      </c>
      <c r="G120" s="81" t="s">
        <v>25</v>
      </c>
      <c r="H120" s="81">
        <v>1500</v>
      </c>
      <c r="I120" s="81">
        <v>774</v>
      </c>
      <c r="J120" s="81">
        <v>12.75</v>
      </c>
      <c r="K120" s="81">
        <v>11.24</v>
      </c>
    </row>
    <row r="121" spans="1:11" x14ac:dyDescent="0.25">
      <c r="A121" s="81">
        <v>1940</v>
      </c>
      <c r="B121" s="81">
        <v>352</v>
      </c>
      <c r="C121" s="81" t="s">
        <v>1649</v>
      </c>
      <c r="D121" s="81" t="s">
        <v>89</v>
      </c>
      <c r="E121" s="81">
        <v>31.14</v>
      </c>
      <c r="F121" s="81">
        <v>27.94</v>
      </c>
      <c r="G121" s="81" t="s">
        <v>25</v>
      </c>
      <c r="H121" s="81">
        <v>1500</v>
      </c>
      <c r="I121" s="81">
        <v>786</v>
      </c>
      <c r="J121" s="81">
        <v>14</v>
      </c>
      <c r="K121" s="81">
        <v>10.06</v>
      </c>
    </row>
    <row r="122" spans="1:11" x14ac:dyDescent="0.25">
      <c r="A122" s="81">
        <v>1940</v>
      </c>
      <c r="B122" s="81">
        <v>353</v>
      </c>
      <c r="C122" s="81" t="s">
        <v>156</v>
      </c>
      <c r="D122" s="81" t="s">
        <v>170</v>
      </c>
      <c r="E122" s="81">
        <v>26.21</v>
      </c>
      <c r="F122" s="81">
        <v>24.3</v>
      </c>
      <c r="G122" s="81" t="s">
        <v>25</v>
      </c>
      <c r="H122" s="81">
        <v>1650</v>
      </c>
      <c r="I122" s="81">
        <v>1020</v>
      </c>
      <c r="J122" s="81">
        <v>9.75</v>
      </c>
      <c r="K122" s="81">
        <v>11.65</v>
      </c>
    </row>
    <row r="123" spans="1:11" x14ac:dyDescent="0.25">
      <c r="A123" s="81">
        <v>1940</v>
      </c>
      <c r="B123" s="81">
        <v>354</v>
      </c>
      <c r="C123" s="81" t="s">
        <v>156</v>
      </c>
      <c r="D123" s="81" t="s">
        <v>171</v>
      </c>
      <c r="E123" s="81">
        <v>34.229999999999997</v>
      </c>
      <c r="F123" s="81">
        <v>31.23</v>
      </c>
      <c r="G123" s="81" t="s">
        <v>47</v>
      </c>
      <c r="H123" s="81">
        <v>1450</v>
      </c>
      <c r="I123" s="81">
        <v>900</v>
      </c>
      <c r="J123" s="81">
        <v>11</v>
      </c>
      <c r="K123" s="81">
        <v>12.09</v>
      </c>
    </row>
    <row r="124" spans="1:11" x14ac:dyDescent="0.25">
      <c r="A124" s="81">
        <v>1940</v>
      </c>
      <c r="B124" s="81">
        <v>355</v>
      </c>
      <c r="C124" s="81" t="s">
        <v>156</v>
      </c>
      <c r="D124" s="81" t="s">
        <v>171</v>
      </c>
      <c r="E124" s="81">
        <v>36.97</v>
      </c>
      <c r="F124" s="81">
        <v>36.15</v>
      </c>
      <c r="G124" s="81" t="s">
        <v>25</v>
      </c>
      <c r="H124" s="81">
        <v>1450</v>
      </c>
      <c r="I124" s="81">
        <v>900</v>
      </c>
      <c r="J124" s="81">
        <v>11</v>
      </c>
      <c r="K124" s="81">
        <v>12.49</v>
      </c>
    </row>
    <row r="125" spans="1:11" x14ac:dyDescent="0.25">
      <c r="A125" s="81">
        <v>1940</v>
      </c>
      <c r="B125" s="81">
        <v>356</v>
      </c>
      <c r="C125" s="81" t="s">
        <v>156</v>
      </c>
      <c r="D125" s="81" t="s">
        <v>172</v>
      </c>
      <c r="E125" s="81">
        <v>34</v>
      </c>
      <c r="G125" s="81" t="s">
        <v>48</v>
      </c>
      <c r="H125" s="81">
        <v>1450</v>
      </c>
      <c r="I125" s="81">
        <v>900</v>
      </c>
      <c r="J125" s="81">
        <v>11</v>
      </c>
      <c r="K125" s="81">
        <v>14.85</v>
      </c>
    </row>
    <row r="126" spans="1:11" x14ac:dyDescent="0.25">
      <c r="A126" s="81">
        <v>1940</v>
      </c>
      <c r="B126" s="81">
        <v>364</v>
      </c>
      <c r="C126" s="81" t="s">
        <v>436</v>
      </c>
      <c r="D126" s="81" t="s">
        <v>261</v>
      </c>
      <c r="E126" s="81">
        <v>23.3</v>
      </c>
      <c r="F126" s="81">
        <v>20.27</v>
      </c>
      <c r="G126" s="81" t="s">
        <v>25</v>
      </c>
      <c r="H126" s="81">
        <v>1500</v>
      </c>
      <c r="I126" s="81">
        <v>1130</v>
      </c>
      <c r="J126" s="81">
        <v>8</v>
      </c>
      <c r="K126" s="81">
        <v>11.77</v>
      </c>
    </row>
    <row r="127" spans="1:11" x14ac:dyDescent="0.25">
      <c r="A127" s="81">
        <v>1941</v>
      </c>
      <c r="B127" s="81">
        <v>365</v>
      </c>
      <c r="C127" s="81" t="s">
        <v>1388</v>
      </c>
      <c r="D127" s="81" t="s">
        <v>118</v>
      </c>
      <c r="E127" s="81">
        <v>41.27</v>
      </c>
      <c r="F127" s="81">
        <v>36.25</v>
      </c>
      <c r="G127" s="81" t="s">
        <v>25</v>
      </c>
      <c r="H127" s="81">
        <v>1200</v>
      </c>
      <c r="I127" s="81">
        <v>742</v>
      </c>
      <c r="J127" s="81">
        <v>14.5</v>
      </c>
      <c r="K127" s="81">
        <v>11.53</v>
      </c>
    </row>
    <row r="128" spans="1:11" x14ac:dyDescent="0.25">
      <c r="A128" s="81">
        <v>1941</v>
      </c>
      <c r="B128" s="81">
        <v>366</v>
      </c>
      <c r="C128" s="81" t="s">
        <v>285</v>
      </c>
      <c r="D128" s="81" t="s">
        <v>51</v>
      </c>
      <c r="E128" s="81">
        <v>20.52</v>
      </c>
      <c r="F128" s="81">
        <v>17.54</v>
      </c>
      <c r="G128" s="81" t="s">
        <v>50</v>
      </c>
      <c r="H128" s="81">
        <v>1150</v>
      </c>
      <c r="I128" s="81">
        <v>1150</v>
      </c>
      <c r="J128" s="81">
        <v>10.625</v>
      </c>
      <c r="K128" s="81">
        <v>11.15</v>
      </c>
    </row>
    <row r="129" spans="1:11" x14ac:dyDescent="0.25">
      <c r="A129" s="81">
        <v>1941</v>
      </c>
      <c r="B129" s="81">
        <v>367</v>
      </c>
      <c r="C129" s="81" t="s">
        <v>366</v>
      </c>
      <c r="D129" s="81" t="s">
        <v>236</v>
      </c>
      <c r="E129" s="81">
        <v>22.29</v>
      </c>
      <c r="F129" s="81">
        <v>20.239999999999998</v>
      </c>
      <c r="G129" s="81" t="s">
        <v>47</v>
      </c>
      <c r="H129" s="81">
        <v>1550</v>
      </c>
      <c r="I129" s="81">
        <v>1075</v>
      </c>
      <c r="J129" s="81">
        <v>9.25</v>
      </c>
      <c r="K129" s="81">
        <v>10.050000000000001</v>
      </c>
    </row>
    <row r="130" spans="1:11" x14ac:dyDescent="0.25">
      <c r="A130" s="81">
        <v>1941</v>
      </c>
      <c r="B130" s="81">
        <v>368</v>
      </c>
      <c r="C130" s="81" t="s">
        <v>156</v>
      </c>
      <c r="D130" s="81" t="s">
        <v>173</v>
      </c>
      <c r="E130" s="81">
        <v>35.020000000000003</v>
      </c>
      <c r="F130" s="81">
        <v>31.17</v>
      </c>
      <c r="G130" s="81" t="s">
        <v>48</v>
      </c>
      <c r="H130" s="81">
        <v>1450</v>
      </c>
      <c r="I130" s="81">
        <v>900</v>
      </c>
      <c r="J130" s="81">
        <v>11</v>
      </c>
      <c r="K130" s="81">
        <v>14.7</v>
      </c>
    </row>
    <row r="131" spans="1:11" x14ac:dyDescent="0.25">
      <c r="A131" s="81">
        <v>1941</v>
      </c>
      <c r="B131" s="81">
        <v>369</v>
      </c>
      <c r="C131" s="81" t="s">
        <v>156</v>
      </c>
      <c r="D131" s="81" t="s">
        <v>174</v>
      </c>
      <c r="E131" s="81">
        <v>49</v>
      </c>
      <c r="G131" s="81" t="s">
        <v>25</v>
      </c>
      <c r="H131" s="81">
        <v>1500</v>
      </c>
      <c r="I131" s="81">
        <v>700</v>
      </c>
      <c r="J131" s="81">
        <v>14</v>
      </c>
      <c r="K131" s="81">
        <v>11.71</v>
      </c>
    </row>
    <row r="132" spans="1:11" x14ac:dyDescent="0.25">
      <c r="A132" s="81">
        <v>1941</v>
      </c>
      <c r="B132" s="81">
        <v>370</v>
      </c>
      <c r="C132" s="81" t="s">
        <v>156</v>
      </c>
      <c r="D132" s="81" t="s">
        <v>175</v>
      </c>
      <c r="E132" s="81">
        <v>46</v>
      </c>
      <c r="G132" s="81" t="s">
        <v>48</v>
      </c>
      <c r="H132" s="81">
        <v>1500</v>
      </c>
      <c r="I132" s="81">
        <v>700</v>
      </c>
      <c r="J132" s="81">
        <v>14</v>
      </c>
      <c r="K132" s="81">
        <v>14.7</v>
      </c>
    </row>
    <row r="133" spans="1:11" x14ac:dyDescent="0.25">
      <c r="A133" s="81">
        <v>1941</v>
      </c>
      <c r="B133" s="81">
        <v>371</v>
      </c>
      <c r="C133" s="81" t="s">
        <v>156</v>
      </c>
      <c r="D133" s="81" t="s">
        <v>174</v>
      </c>
      <c r="E133" s="81">
        <v>46</v>
      </c>
      <c r="G133" s="81" t="s">
        <v>47</v>
      </c>
      <c r="H133" s="81">
        <v>1500</v>
      </c>
      <c r="I133" s="81">
        <v>700</v>
      </c>
      <c r="J133" s="81">
        <v>14</v>
      </c>
      <c r="K133" s="81">
        <v>11.04</v>
      </c>
    </row>
    <row r="134" spans="1:11" x14ac:dyDescent="0.25">
      <c r="A134" s="81">
        <v>1941</v>
      </c>
      <c r="B134" s="81">
        <v>373</v>
      </c>
      <c r="C134" s="81" t="s">
        <v>285</v>
      </c>
      <c r="D134" s="81" t="s">
        <v>54</v>
      </c>
      <c r="E134" s="81">
        <v>14.34</v>
      </c>
      <c r="F134" s="81">
        <v>12.97</v>
      </c>
      <c r="G134" s="81" t="s">
        <v>25</v>
      </c>
      <c r="H134" s="81">
        <v>1850</v>
      </c>
      <c r="I134" s="81">
        <v>1770</v>
      </c>
      <c r="J134" s="81">
        <v>6.75</v>
      </c>
      <c r="K134" s="81">
        <v>10.35</v>
      </c>
    </row>
    <row r="135" spans="1:11" x14ac:dyDescent="0.25">
      <c r="A135" s="81">
        <v>1941</v>
      </c>
      <c r="B135" s="81">
        <v>375</v>
      </c>
      <c r="C135" s="81" t="s">
        <v>1388</v>
      </c>
      <c r="D135" s="81" t="s">
        <v>119</v>
      </c>
      <c r="E135" s="81">
        <v>18.760000000000002</v>
      </c>
      <c r="F135" s="81">
        <v>16.62</v>
      </c>
      <c r="G135" s="81" t="s">
        <v>25</v>
      </c>
      <c r="H135" s="81">
        <v>1500</v>
      </c>
      <c r="I135" s="81">
        <v>647</v>
      </c>
      <c r="J135" s="81">
        <v>10</v>
      </c>
      <c r="K135" s="81">
        <v>11.9</v>
      </c>
    </row>
    <row r="136" spans="1:11" x14ac:dyDescent="0.25">
      <c r="A136" s="81">
        <v>1941</v>
      </c>
      <c r="B136" s="81">
        <v>378</v>
      </c>
      <c r="C136" s="81" t="s">
        <v>285</v>
      </c>
      <c r="D136" s="81" t="s">
        <v>55</v>
      </c>
      <c r="E136" s="81">
        <v>30.33</v>
      </c>
      <c r="F136" s="81">
        <v>26.37</v>
      </c>
      <c r="G136" s="81" t="s">
        <v>50</v>
      </c>
      <c r="H136" s="81">
        <v>975</v>
      </c>
      <c r="I136" s="81">
        <v>975</v>
      </c>
      <c r="J136" s="81">
        <v>12.75</v>
      </c>
      <c r="K136" s="81">
        <v>11.13</v>
      </c>
    </row>
    <row r="137" spans="1:11" x14ac:dyDescent="0.25">
      <c r="A137" s="81">
        <v>1947</v>
      </c>
      <c r="B137" s="81">
        <v>380</v>
      </c>
      <c r="C137" s="81" t="s">
        <v>285</v>
      </c>
      <c r="D137" s="81" t="s">
        <v>51</v>
      </c>
      <c r="E137" s="81">
        <v>27.58</v>
      </c>
      <c r="F137" s="81">
        <v>24.46</v>
      </c>
      <c r="G137" s="81" t="s">
        <v>25</v>
      </c>
      <c r="H137" s="81">
        <v>1250</v>
      </c>
      <c r="I137" s="81">
        <v>1250</v>
      </c>
      <c r="J137" s="81">
        <v>9.6875</v>
      </c>
      <c r="K137" s="81">
        <v>11.61</v>
      </c>
    </row>
    <row r="138" spans="1:11" x14ac:dyDescent="0.25">
      <c r="A138" s="81">
        <v>1947</v>
      </c>
      <c r="B138" s="81">
        <v>381</v>
      </c>
      <c r="C138" s="81" t="s">
        <v>285</v>
      </c>
      <c r="D138" s="81" t="s">
        <v>51</v>
      </c>
      <c r="E138" s="81">
        <v>23.53</v>
      </c>
      <c r="F138" s="81">
        <v>20.75</v>
      </c>
      <c r="G138" s="81" t="s">
        <v>50</v>
      </c>
      <c r="H138" s="81">
        <v>1250</v>
      </c>
      <c r="I138" s="81">
        <v>1250</v>
      </c>
      <c r="J138" s="81">
        <v>9.6875</v>
      </c>
      <c r="K138" s="81">
        <v>11.07</v>
      </c>
    </row>
    <row r="139" spans="1:11" x14ac:dyDescent="0.25">
      <c r="A139" s="81">
        <v>1947</v>
      </c>
      <c r="B139" s="81">
        <v>383</v>
      </c>
      <c r="C139" s="81" t="s">
        <v>285</v>
      </c>
      <c r="D139" s="81" t="s">
        <v>25</v>
      </c>
      <c r="E139" s="81">
        <v>38.1</v>
      </c>
      <c r="F139" s="81">
        <v>34.200000000000003</v>
      </c>
      <c r="G139" s="81" t="s">
        <v>50</v>
      </c>
      <c r="H139" s="81">
        <v>975</v>
      </c>
      <c r="I139" s="81">
        <v>975</v>
      </c>
      <c r="J139" s="81">
        <v>12.875</v>
      </c>
      <c r="K139" s="81">
        <v>10.73</v>
      </c>
    </row>
    <row r="140" spans="1:11" x14ac:dyDescent="0.25">
      <c r="A140" s="81">
        <v>1947</v>
      </c>
      <c r="B140" s="81">
        <v>384</v>
      </c>
      <c r="C140" s="81" t="s">
        <v>285</v>
      </c>
      <c r="D140" s="81" t="s">
        <v>24</v>
      </c>
      <c r="E140" s="81">
        <v>38.020000000000003</v>
      </c>
      <c r="F140" s="81">
        <v>33.82</v>
      </c>
      <c r="G140" s="81" t="s">
        <v>25</v>
      </c>
      <c r="H140" s="81">
        <v>975</v>
      </c>
      <c r="I140" s="81">
        <v>975</v>
      </c>
      <c r="J140" s="81">
        <v>12.8125</v>
      </c>
      <c r="K140" s="81">
        <v>11.43</v>
      </c>
    </row>
    <row r="141" spans="1:11" x14ac:dyDescent="0.25">
      <c r="A141" s="81">
        <v>1947</v>
      </c>
      <c r="B141" s="81">
        <v>385</v>
      </c>
      <c r="C141" s="81" t="s">
        <v>1647</v>
      </c>
      <c r="D141" s="81" t="s">
        <v>61</v>
      </c>
      <c r="E141" s="81">
        <v>21.06</v>
      </c>
      <c r="F141" s="81">
        <v>18.350000000000001</v>
      </c>
      <c r="G141" s="81" t="s">
        <v>25</v>
      </c>
      <c r="H141" s="81">
        <v>2000</v>
      </c>
      <c r="I141" s="81">
        <v>1360</v>
      </c>
      <c r="J141" s="81">
        <v>9</v>
      </c>
      <c r="K141" s="81">
        <v>7.23</v>
      </c>
    </row>
    <row r="142" spans="1:11" x14ac:dyDescent="0.25">
      <c r="A142" s="81">
        <v>1947</v>
      </c>
      <c r="B142" s="81">
        <v>387</v>
      </c>
      <c r="C142" s="81" t="s">
        <v>285</v>
      </c>
      <c r="D142" s="81" t="s">
        <v>56</v>
      </c>
      <c r="E142" s="81">
        <v>20.45</v>
      </c>
      <c r="F142" s="81">
        <v>18.23</v>
      </c>
      <c r="G142" s="81" t="s">
        <v>25</v>
      </c>
      <c r="H142" s="81">
        <v>1650</v>
      </c>
      <c r="I142" s="81">
        <v>1575</v>
      </c>
      <c r="J142" s="81">
        <v>7.25</v>
      </c>
      <c r="K142" s="81">
        <v>11.1</v>
      </c>
    </row>
    <row r="143" spans="1:11" x14ac:dyDescent="0.25">
      <c r="A143" s="81">
        <v>1947</v>
      </c>
      <c r="B143" s="81">
        <v>388</v>
      </c>
      <c r="C143" s="81" t="s">
        <v>1388</v>
      </c>
      <c r="D143" s="81" t="s">
        <v>120</v>
      </c>
      <c r="E143" s="81">
        <v>41.99</v>
      </c>
      <c r="F143" s="81">
        <v>38.020000000000003</v>
      </c>
      <c r="G143" s="81" t="s">
        <v>25</v>
      </c>
      <c r="H143" s="81">
        <v>1600</v>
      </c>
      <c r="I143" s="81">
        <v>992</v>
      </c>
      <c r="J143" s="81">
        <v>11.875</v>
      </c>
      <c r="K143" s="81">
        <v>11.07</v>
      </c>
    </row>
    <row r="144" spans="1:11" x14ac:dyDescent="0.25">
      <c r="A144" s="81">
        <v>1947</v>
      </c>
      <c r="B144" s="81">
        <v>389</v>
      </c>
      <c r="C144" s="81" t="s">
        <v>1651</v>
      </c>
      <c r="D144" s="81" t="s">
        <v>263</v>
      </c>
      <c r="E144" s="81">
        <v>45.64</v>
      </c>
      <c r="F144" s="81">
        <v>40</v>
      </c>
      <c r="G144" s="81" t="s">
        <v>25</v>
      </c>
      <c r="H144" s="81">
        <v>1350</v>
      </c>
      <c r="I144" s="81">
        <v>865</v>
      </c>
      <c r="J144" s="81">
        <v>13.5</v>
      </c>
      <c r="K144" s="81">
        <v>11.78</v>
      </c>
    </row>
    <row r="145" spans="1:11" x14ac:dyDescent="0.25">
      <c r="A145" s="81">
        <v>1947</v>
      </c>
      <c r="B145" s="81">
        <v>391</v>
      </c>
      <c r="C145" s="81" t="s">
        <v>1388</v>
      </c>
      <c r="D145" s="81" t="s">
        <v>121</v>
      </c>
      <c r="E145" s="81">
        <v>43.15</v>
      </c>
      <c r="F145" s="81">
        <v>38.39</v>
      </c>
      <c r="G145" s="81" t="s">
        <v>25</v>
      </c>
      <c r="H145" s="81">
        <v>1600</v>
      </c>
      <c r="I145" s="81">
        <v>992</v>
      </c>
      <c r="J145" s="81">
        <v>11.875</v>
      </c>
      <c r="K145" s="81">
        <v>11.26</v>
      </c>
    </row>
    <row r="146" spans="1:11" x14ac:dyDescent="0.25">
      <c r="A146" s="81">
        <v>1948</v>
      </c>
      <c r="B146" s="81">
        <v>392</v>
      </c>
      <c r="C146" s="81" t="s">
        <v>1648</v>
      </c>
      <c r="D146" s="81" t="s">
        <v>262</v>
      </c>
      <c r="E146" s="81">
        <v>25.41</v>
      </c>
      <c r="F146" s="81">
        <v>22.59</v>
      </c>
      <c r="G146" s="81" t="s">
        <v>25</v>
      </c>
      <c r="H146" s="81">
        <v>2000</v>
      </c>
      <c r="I146" s="81">
        <v>1360</v>
      </c>
      <c r="J146" s="81">
        <v>9</v>
      </c>
    </row>
    <row r="147" spans="1:11" x14ac:dyDescent="0.25">
      <c r="A147" s="81">
        <v>1948</v>
      </c>
      <c r="B147" s="81">
        <v>393</v>
      </c>
      <c r="C147" s="81" t="s">
        <v>1647</v>
      </c>
      <c r="D147" s="81" t="s">
        <v>61</v>
      </c>
      <c r="E147" s="81">
        <v>25.77</v>
      </c>
      <c r="F147" s="81">
        <v>22.57</v>
      </c>
      <c r="G147" s="81" t="s">
        <v>25</v>
      </c>
      <c r="H147" s="81">
        <v>2000</v>
      </c>
      <c r="I147" s="81">
        <v>1360</v>
      </c>
      <c r="J147" s="81">
        <v>9</v>
      </c>
      <c r="K147" s="81">
        <v>10.029999999999999</v>
      </c>
    </row>
    <row r="148" spans="1:11" x14ac:dyDescent="0.25">
      <c r="A148" s="81">
        <v>1948</v>
      </c>
      <c r="B148" s="81">
        <v>395</v>
      </c>
      <c r="C148" s="81" t="s">
        <v>156</v>
      </c>
      <c r="D148" s="81" t="s">
        <v>176</v>
      </c>
      <c r="E148" s="81">
        <v>21.12</v>
      </c>
      <c r="F148" s="81">
        <v>19.91</v>
      </c>
      <c r="G148" s="81" t="s">
        <v>25</v>
      </c>
      <c r="H148" s="81">
        <v>1650</v>
      </c>
      <c r="I148" s="81">
        <v>1360</v>
      </c>
      <c r="J148" s="81">
        <v>8.5</v>
      </c>
      <c r="K148" s="81">
        <v>11.24</v>
      </c>
    </row>
    <row r="149" spans="1:11" x14ac:dyDescent="0.25">
      <c r="A149" s="81">
        <v>1948</v>
      </c>
      <c r="B149" s="81">
        <v>404</v>
      </c>
      <c r="C149" s="81" t="s">
        <v>1388</v>
      </c>
      <c r="D149" s="81" t="s">
        <v>122</v>
      </c>
      <c r="E149" s="81">
        <v>33.979999999999997</v>
      </c>
      <c r="F149" s="81">
        <v>29.9</v>
      </c>
      <c r="G149" s="81" t="s">
        <v>25</v>
      </c>
      <c r="H149" s="81">
        <v>1600</v>
      </c>
      <c r="I149" s="81">
        <v>992</v>
      </c>
      <c r="J149" s="81">
        <v>12</v>
      </c>
      <c r="K149" s="81">
        <v>11.11</v>
      </c>
    </row>
    <row r="150" spans="1:11" x14ac:dyDescent="0.25">
      <c r="A150" s="81">
        <v>1948</v>
      </c>
      <c r="B150" s="81">
        <v>405</v>
      </c>
      <c r="C150" s="81" t="s">
        <v>1388</v>
      </c>
      <c r="D150" s="81" t="s">
        <v>123</v>
      </c>
      <c r="E150" s="81">
        <v>33.56</v>
      </c>
      <c r="F150" s="81">
        <v>30.03</v>
      </c>
      <c r="G150" s="81" t="s">
        <v>25</v>
      </c>
      <c r="H150" s="81">
        <v>1600</v>
      </c>
      <c r="I150" s="81">
        <v>992</v>
      </c>
      <c r="J150" s="81">
        <v>12</v>
      </c>
      <c r="K150" s="81">
        <v>11.25</v>
      </c>
    </row>
    <row r="151" spans="1:11" x14ac:dyDescent="0.25">
      <c r="A151" s="81">
        <v>1949</v>
      </c>
      <c r="B151" s="81">
        <v>406</v>
      </c>
      <c r="C151" s="81" t="s">
        <v>285</v>
      </c>
      <c r="D151" s="81" t="s">
        <v>57</v>
      </c>
      <c r="E151" s="81">
        <v>48.58</v>
      </c>
      <c r="F151" s="81">
        <v>43.52</v>
      </c>
      <c r="G151" s="81" t="s">
        <v>48</v>
      </c>
      <c r="H151" s="81">
        <v>1000</v>
      </c>
      <c r="I151" s="81">
        <v>1000</v>
      </c>
      <c r="J151" s="81">
        <v>12.21875</v>
      </c>
      <c r="K151" s="81">
        <v>17.350000000000001</v>
      </c>
    </row>
    <row r="152" spans="1:11" x14ac:dyDescent="0.25">
      <c r="A152" s="81">
        <v>1949</v>
      </c>
      <c r="B152" s="81">
        <v>411</v>
      </c>
      <c r="C152" s="81" t="s">
        <v>1649</v>
      </c>
      <c r="D152" s="81" t="s">
        <v>90</v>
      </c>
      <c r="E152" s="81">
        <v>46.87</v>
      </c>
      <c r="F152" s="81">
        <v>41.51</v>
      </c>
      <c r="G152" s="81" t="s">
        <v>53</v>
      </c>
      <c r="H152" s="81">
        <v>1275</v>
      </c>
      <c r="I152" s="81">
        <v>727</v>
      </c>
      <c r="J152" s="81">
        <v>16</v>
      </c>
      <c r="K152" s="81">
        <v>8.64</v>
      </c>
    </row>
    <row r="153" spans="1:11" x14ac:dyDescent="0.25">
      <c r="A153" s="81">
        <v>1949</v>
      </c>
      <c r="B153" s="81">
        <v>412</v>
      </c>
      <c r="C153" s="81" t="s">
        <v>1388</v>
      </c>
      <c r="D153" s="81" t="s">
        <v>124</v>
      </c>
      <c r="E153" s="81">
        <v>24.91</v>
      </c>
      <c r="F153" s="81">
        <v>22.14</v>
      </c>
      <c r="G153" s="81" t="s">
        <v>25</v>
      </c>
      <c r="H153" s="81">
        <v>1600</v>
      </c>
      <c r="I153" s="81">
        <v>987</v>
      </c>
      <c r="J153" s="81">
        <v>11.875</v>
      </c>
      <c r="K153" s="81">
        <v>11.81</v>
      </c>
    </row>
    <row r="154" spans="1:11" x14ac:dyDescent="0.25">
      <c r="A154" s="81">
        <v>1949</v>
      </c>
      <c r="B154" s="81">
        <v>413</v>
      </c>
      <c r="C154" s="81" t="s">
        <v>1388</v>
      </c>
      <c r="D154" s="81" t="s">
        <v>125</v>
      </c>
      <c r="E154" s="81">
        <v>24.9</v>
      </c>
      <c r="F154" s="81">
        <v>22.31</v>
      </c>
      <c r="G154" s="81" t="s">
        <v>25</v>
      </c>
      <c r="H154" s="81">
        <v>1600</v>
      </c>
      <c r="I154" s="81">
        <v>987</v>
      </c>
      <c r="J154" s="81">
        <v>11.875</v>
      </c>
      <c r="K154" s="81">
        <v>11.74</v>
      </c>
    </row>
    <row r="155" spans="1:11" x14ac:dyDescent="0.25">
      <c r="A155" s="81">
        <v>1949</v>
      </c>
      <c r="B155" s="81">
        <v>423</v>
      </c>
      <c r="C155" s="81" t="s">
        <v>285</v>
      </c>
      <c r="D155" s="81" t="s">
        <v>58</v>
      </c>
      <c r="E155" s="81">
        <v>20.78</v>
      </c>
      <c r="F155" s="81">
        <v>18.420000000000002</v>
      </c>
      <c r="G155" s="81" t="s">
        <v>25</v>
      </c>
      <c r="H155" s="81">
        <v>1650</v>
      </c>
      <c r="I155" s="81">
        <v>1575</v>
      </c>
      <c r="J155" s="81">
        <v>7.25</v>
      </c>
      <c r="K155" s="81">
        <v>11.01</v>
      </c>
    </row>
    <row r="156" spans="1:11" x14ac:dyDescent="0.25">
      <c r="A156" s="81">
        <v>1949</v>
      </c>
      <c r="B156" s="81">
        <v>425</v>
      </c>
      <c r="C156" s="81" t="s">
        <v>1388</v>
      </c>
      <c r="D156" s="81" t="s">
        <v>122</v>
      </c>
      <c r="E156" s="81">
        <v>37.17</v>
      </c>
      <c r="F156" s="81">
        <v>33.020000000000003</v>
      </c>
      <c r="G156" s="81" t="s">
        <v>25</v>
      </c>
      <c r="H156" s="81">
        <v>1600</v>
      </c>
      <c r="I156" s="81">
        <v>992</v>
      </c>
      <c r="J156" s="81">
        <v>12</v>
      </c>
      <c r="K156" s="81">
        <v>11.39</v>
      </c>
    </row>
    <row r="157" spans="1:11" x14ac:dyDescent="0.25">
      <c r="A157" s="81">
        <v>1949</v>
      </c>
      <c r="B157" s="81">
        <v>429</v>
      </c>
      <c r="C157" s="81" t="s">
        <v>285</v>
      </c>
      <c r="D157" s="81" t="s">
        <v>55</v>
      </c>
      <c r="E157" s="81">
        <v>37.869999999999997</v>
      </c>
      <c r="F157" s="81">
        <v>33.28</v>
      </c>
      <c r="G157" s="81" t="s">
        <v>25</v>
      </c>
      <c r="H157" s="81">
        <v>975</v>
      </c>
      <c r="I157" s="81">
        <v>975</v>
      </c>
      <c r="J157" s="81">
        <v>12.8125</v>
      </c>
      <c r="K157" s="81">
        <v>11.52</v>
      </c>
    </row>
    <row r="158" spans="1:11" x14ac:dyDescent="0.25">
      <c r="A158" s="81">
        <v>1949</v>
      </c>
      <c r="B158" s="81">
        <v>430</v>
      </c>
      <c r="C158" s="81" t="s">
        <v>366</v>
      </c>
      <c r="D158" s="81" t="s">
        <v>237</v>
      </c>
      <c r="E158" s="81">
        <v>17.920000000000002</v>
      </c>
      <c r="F158" s="81">
        <v>15.93</v>
      </c>
      <c r="G158" s="81" t="s">
        <v>47</v>
      </c>
      <c r="H158" s="81">
        <v>1425</v>
      </c>
      <c r="I158" s="81">
        <v>970</v>
      </c>
      <c r="J158" s="81">
        <v>10.25</v>
      </c>
      <c r="K158" s="81">
        <v>10.76</v>
      </c>
    </row>
    <row r="159" spans="1:11" x14ac:dyDescent="0.25">
      <c r="A159" s="81">
        <v>1949</v>
      </c>
      <c r="B159" s="81">
        <v>431</v>
      </c>
      <c r="C159" s="81" t="s">
        <v>366</v>
      </c>
      <c r="D159" s="81" t="s">
        <v>237</v>
      </c>
      <c r="E159" s="81">
        <v>21.33</v>
      </c>
      <c r="F159" s="81">
        <v>19.04</v>
      </c>
      <c r="G159" s="81" t="s">
        <v>25</v>
      </c>
      <c r="H159" s="81">
        <v>1425</v>
      </c>
      <c r="I159" s="81">
        <v>970</v>
      </c>
      <c r="J159" s="81">
        <v>10.25</v>
      </c>
      <c r="K159" s="81">
        <v>10.65</v>
      </c>
    </row>
    <row r="160" spans="1:11" x14ac:dyDescent="0.25">
      <c r="A160" s="81">
        <v>1949</v>
      </c>
      <c r="B160" s="81">
        <v>434</v>
      </c>
      <c r="C160" s="81" t="s">
        <v>1388</v>
      </c>
      <c r="D160" s="81" t="s">
        <v>126</v>
      </c>
      <c r="E160" s="81">
        <v>25.3</v>
      </c>
      <c r="F160" s="81">
        <v>22.54</v>
      </c>
      <c r="G160" s="81" t="s">
        <v>25</v>
      </c>
      <c r="H160" s="81">
        <v>1700</v>
      </c>
      <c r="I160" s="81">
        <v>1038</v>
      </c>
      <c r="J160" s="81">
        <v>8.5</v>
      </c>
      <c r="K160" s="81">
        <v>10.86</v>
      </c>
    </row>
    <row r="161" spans="1:11" x14ac:dyDescent="0.25">
      <c r="A161" s="81">
        <v>1949</v>
      </c>
      <c r="B161" s="81">
        <v>435</v>
      </c>
      <c r="C161" s="81" t="s">
        <v>1388</v>
      </c>
      <c r="D161" s="81" t="s">
        <v>127</v>
      </c>
      <c r="E161" s="81">
        <v>69.03</v>
      </c>
      <c r="F161" s="81">
        <v>60.88</v>
      </c>
      <c r="G161" s="81" t="s">
        <v>25</v>
      </c>
      <c r="H161" s="81">
        <v>1300</v>
      </c>
      <c r="I161" s="81">
        <v>960</v>
      </c>
      <c r="J161" s="81">
        <v>13</v>
      </c>
      <c r="K161" s="81">
        <v>10.32</v>
      </c>
    </row>
    <row r="162" spans="1:11" x14ac:dyDescent="0.25">
      <c r="A162" s="81">
        <v>1949</v>
      </c>
      <c r="B162" s="81">
        <v>436</v>
      </c>
      <c r="C162" s="81" t="s">
        <v>1388</v>
      </c>
      <c r="D162" s="81" t="s">
        <v>128</v>
      </c>
      <c r="E162" s="81">
        <v>73.3</v>
      </c>
      <c r="F162" s="81">
        <v>63.27</v>
      </c>
      <c r="G162" s="81" t="s">
        <v>48</v>
      </c>
      <c r="H162" s="81">
        <v>1300</v>
      </c>
      <c r="I162" s="81">
        <v>960</v>
      </c>
      <c r="J162" s="81">
        <v>13</v>
      </c>
      <c r="K162" s="81">
        <v>14.77</v>
      </c>
    </row>
    <row r="163" spans="1:11" x14ac:dyDescent="0.25">
      <c r="A163" s="81">
        <v>1950</v>
      </c>
      <c r="B163" s="81">
        <v>437</v>
      </c>
      <c r="C163" s="81" t="s">
        <v>1649</v>
      </c>
      <c r="D163" s="81" t="s">
        <v>25</v>
      </c>
      <c r="E163" s="81">
        <v>58.03</v>
      </c>
      <c r="F163" s="81">
        <v>50.64</v>
      </c>
      <c r="G163" s="81" t="s">
        <v>25</v>
      </c>
      <c r="H163" s="81">
        <v>1100</v>
      </c>
      <c r="I163" s="81">
        <v>627</v>
      </c>
      <c r="J163" s="81">
        <v>16</v>
      </c>
      <c r="K163" s="81">
        <v>11.07</v>
      </c>
    </row>
    <row r="164" spans="1:11" x14ac:dyDescent="0.25">
      <c r="A164" s="81">
        <v>1950</v>
      </c>
      <c r="B164" s="81">
        <v>438</v>
      </c>
      <c r="C164" s="81" t="s">
        <v>1649</v>
      </c>
      <c r="D164" s="81" t="s">
        <v>91</v>
      </c>
      <c r="E164" s="81">
        <v>36.200000000000003</v>
      </c>
      <c r="F164" s="81">
        <v>31.85</v>
      </c>
      <c r="G164" s="81" t="s">
        <v>25</v>
      </c>
      <c r="H164" s="81">
        <v>1500</v>
      </c>
      <c r="I164" s="81">
        <v>786</v>
      </c>
      <c r="J164" s="81">
        <v>15.125</v>
      </c>
      <c r="K164" s="81">
        <v>10.16</v>
      </c>
    </row>
    <row r="165" spans="1:11" x14ac:dyDescent="0.25">
      <c r="A165" s="81">
        <v>1952</v>
      </c>
      <c r="B165" s="81">
        <v>442</v>
      </c>
      <c r="C165" s="81" t="s">
        <v>1650</v>
      </c>
      <c r="D165" s="81" t="s">
        <v>258</v>
      </c>
      <c r="E165" s="81">
        <v>43.3</v>
      </c>
      <c r="F165" s="81">
        <v>41.44</v>
      </c>
      <c r="G165" s="81" t="s">
        <v>25</v>
      </c>
      <c r="H165" s="81">
        <v>1650</v>
      </c>
    </row>
    <row r="166" spans="1:11" x14ac:dyDescent="0.25">
      <c r="A166" s="81">
        <v>1950</v>
      </c>
      <c r="B166" s="81">
        <v>450</v>
      </c>
      <c r="C166" s="81" t="s">
        <v>1388</v>
      </c>
      <c r="D166" s="81" t="s">
        <v>129</v>
      </c>
      <c r="E166" s="81">
        <v>43.53</v>
      </c>
      <c r="F166" s="81">
        <v>38.47</v>
      </c>
      <c r="G166" s="81" t="s">
        <v>48</v>
      </c>
      <c r="H166" s="81">
        <v>1600</v>
      </c>
      <c r="I166" s="81">
        <v>992</v>
      </c>
      <c r="J166" s="81">
        <v>11.875</v>
      </c>
      <c r="K166" s="81">
        <v>14.8</v>
      </c>
    </row>
    <row r="167" spans="1:11" x14ac:dyDescent="0.25">
      <c r="A167" s="81">
        <v>1950</v>
      </c>
      <c r="B167" s="81">
        <v>451</v>
      </c>
      <c r="C167" s="81" t="s">
        <v>1388</v>
      </c>
      <c r="D167" s="81" t="s">
        <v>130</v>
      </c>
      <c r="E167" s="81">
        <v>62.28</v>
      </c>
      <c r="F167" s="81">
        <v>54.52</v>
      </c>
      <c r="G167" s="81" t="s">
        <v>25</v>
      </c>
      <c r="H167" s="81">
        <v>1125</v>
      </c>
      <c r="I167" s="81">
        <v>596</v>
      </c>
      <c r="J167" s="81">
        <v>16.75</v>
      </c>
      <c r="K167" s="81">
        <v>11.49</v>
      </c>
    </row>
    <row r="168" spans="1:11" x14ac:dyDescent="0.25">
      <c r="A168" s="81">
        <v>1951</v>
      </c>
      <c r="B168" s="81">
        <v>457</v>
      </c>
      <c r="C168" s="81" t="s">
        <v>1388</v>
      </c>
      <c r="D168" s="81" t="s">
        <v>131</v>
      </c>
      <c r="E168" s="81">
        <v>35.79</v>
      </c>
      <c r="F168" s="81">
        <v>31.61</v>
      </c>
      <c r="G168" s="81" t="s">
        <v>48</v>
      </c>
      <c r="H168" s="81">
        <v>1600</v>
      </c>
      <c r="I168" s="81">
        <v>992</v>
      </c>
      <c r="J168" s="81">
        <v>11.875</v>
      </c>
      <c r="K168" s="81">
        <v>14.27</v>
      </c>
    </row>
    <row r="169" spans="1:11" x14ac:dyDescent="0.25">
      <c r="A169" s="81">
        <v>1951</v>
      </c>
      <c r="B169" s="81">
        <v>458</v>
      </c>
      <c r="C169" s="81" t="s">
        <v>156</v>
      </c>
      <c r="D169" s="81" t="s">
        <v>177</v>
      </c>
      <c r="E169" s="81">
        <v>23</v>
      </c>
      <c r="G169" s="81" t="s">
        <v>25</v>
      </c>
      <c r="H169" s="81">
        <v>1650</v>
      </c>
      <c r="I169" s="81">
        <v>1360</v>
      </c>
      <c r="J169" s="81">
        <v>8.5</v>
      </c>
      <c r="K169" s="81">
        <v>10.78</v>
      </c>
    </row>
    <row r="170" spans="1:11" x14ac:dyDescent="0.25">
      <c r="A170" s="81">
        <v>1951</v>
      </c>
      <c r="B170" s="81">
        <v>459</v>
      </c>
      <c r="C170" s="81" t="s">
        <v>156</v>
      </c>
      <c r="D170" s="81" t="s">
        <v>172</v>
      </c>
      <c r="E170" s="81">
        <v>37</v>
      </c>
      <c r="G170" s="81" t="s">
        <v>48</v>
      </c>
      <c r="H170" s="81">
        <v>1450</v>
      </c>
      <c r="I170" s="81">
        <v>900</v>
      </c>
      <c r="J170" s="81">
        <v>11</v>
      </c>
      <c r="K170" s="81">
        <v>13.72</v>
      </c>
    </row>
    <row r="171" spans="1:11" x14ac:dyDescent="0.25">
      <c r="A171" s="81">
        <v>1951</v>
      </c>
      <c r="B171" s="81">
        <v>460</v>
      </c>
      <c r="C171" s="81" t="s">
        <v>156</v>
      </c>
      <c r="D171" s="81" t="s">
        <v>173</v>
      </c>
      <c r="E171" s="81">
        <v>38</v>
      </c>
      <c r="G171" s="81" t="s">
        <v>48</v>
      </c>
      <c r="H171" s="81">
        <v>1450</v>
      </c>
      <c r="I171" s="81">
        <v>900</v>
      </c>
      <c r="J171" s="81">
        <v>11</v>
      </c>
      <c r="K171" s="81">
        <v>14.12</v>
      </c>
    </row>
    <row r="172" spans="1:11" x14ac:dyDescent="0.25">
      <c r="A172" s="81">
        <v>1951</v>
      </c>
      <c r="B172" s="81">
        <v>467</v>
      </c>
      <c r="C172" s="81" t="s">
        <v>1388</v>
      </c>
      <c r="D172" s="81" t="s">
        <v>132</v>
      </c>
      <c r="E172" s="81">
        <v>25.03</v>
      </c>
      <c r="F172" s="81">
        <v>22.45</v>
      </c>
      <c r="G172" s="81" t="s">
        <v>48</v>
      </c>
      <c r="H172" s="81">
        <v>1600</v>
      </c>
      <c r="I172" s="81">
        <v>987</v>
      </c>
      <c r="J172" s="81">
        <v>11.875</v>
      </c>
      <c r="K172" s="81">
        <v>14.22</v>
      </c>
    </row>
    <row r="173" spans="1:11" x14ac:dyDescent="0.25">
      <c r="A173" s="81">
        <v>1951</v>
      </c>
      <c r="B173" s="81">
        <v>468</v>
      </c>
      <c r="C173" s="81" t="s">
        <v>1649</v>
      </c>
      <c r="D173" s="81" t="s">
        <v>57</v>
      </c>
      <c r="E173" s="81">
        <v>27.09</v>
      </c>
      <c r="F173" s="81">
        <v>23.81</v>
      </c>
      <c r="G173" s="81" t="s">
        <v>25</v>
      </c>
      <c r="H173" s="81">
        <v>1500</v>
      </c>
      <c r="I173" s="81">
        <v>1000</v>
      </c>
      <c r="J173" s="81">
        <v>12.25</v>
      </c>
      <c r="K173" s="81">
        <v>9.43</v>
      </c>
    </row>
    <row r="174" spans="1:11" x14ac:dyDescent="0.25">
      <c r="A174" s="81">
        <v>1951</v>
      </c>
      <c r="B174" s="81">
        <v>469</v>
      </c>
      <c r="C174" s="81" t="s">
        <v>1649</v>
      </c>
      <c r="D174" s="81" t="s">
        <v>92</v>
      </c>
      <c r="E174" s="81">
        <v>27.12</v>
      </c>
      <c r="F174" s="81">
        <v>23.53</v>
      </c>
      <c r="G174" s="81" t="s">
        <v>25</v>
      </c>
      <c r="H174" s="81">
        <v>1800</v>
      </c>
      <c r="I174" s="81">
        <v>1160</v>
      </c>
      <c r="J174" s="81">
        <v>10</v>
      </c>
      <c r="K174" s="81">
        <v>10.19</v>
      </c>
    </row>
    <row r="175" spans="1:11" x14ac:dyDescent="0.25">
      <c r="A175" s="81">
        <v>1952</v>
      </c>
      <c r="B175" s="81">
        <v>470</v>
      </c>
      <c r="C175" s="81" t="s">
        <v>1388</v>
      </c>
      <c r="D175" s="81" t="s">
        <v>131</v>
      </c>
      <c r="E175" s="81">
        <v>36.33</v>
      </c>
      <c r="F175" s="81">
        <v>32.51</v>
      </c>
      <c r="G175" s="81" t="s">
        <v>53</v>
      </c>
      <c r="H175" s="81">
        <v>1600</v>
      </c>
      <c r="I175" s="81">
        <v>992</v>
      </c>
      <c r="J175" s="81">
        <v>11.875</v>
      </c>
      <c r="K175" s="81">
        <v>8.1999999999999993</v>
      </c>
    </row>
    <row r="176" spans="1:11" x14ac:dyDescent="0.25">
      <c r="A176" s="81">
        <v>1952</v>
      </c>
      <c r="B176" s="81">
        <v>472</v>
      </c>
      <c r="C176" s="81" t="s">
        <v>285</v>
      </c>
      <c r="D176" s="81">
        <v>60</v>
      </c>
      <c r="E176" s="81">
        <v>40.24</v>
      </c>
      <c r="F176" s="81">
        <v>35.299999999999997</v>
      </c>
      <c r="G176" s="81" t="s">
        <v>25</v>
      </c>
      <c r="H176" s="81">
        <v>975</v>
      </c>
      <c r="I176" s="81">
        <v>975</v>
      </c>
      <c r="J176" s="81">
        <v>12.8125</v>
      </c>
      <c r="K176" s="81">
        <v>11.64</v>
      </c>
    </row>
    <row r="177" spans="1:11" x14ac:dyDescent="0.25">
      <c r="A177" s="81">
        <v>1952</v>
      </c>
      <c r="B177" s="81">
        <v>475</v>
      </c>
      <c r="C177" s="81" t="s">
        <v>156</v>
      </c>
      <c r="D177" s="81" t="s">
        <v>178</v>
      </c>
      <c r="E177" s="81">
        <v>46</v>
      </c>
      <c r="F177" s="81">
        <v>41.33</v>
      </c>
      <c r="G177" s="81" t="s">
        <v>25</v>
      </c>
      <c r="H177" s="81">
        <v>1450</v>
      </c>
      <c r="I177" s="81">
        <v>900</v>
      </c>
      <c r="J177" s="81">
        <v>11</v>
      </c>
      <c r="K177" s="81">
        <v>12.01</v>
      </c>
    </row>
    <row r="178" spans="1:11" x14ac:dyDescent="0.25">
      <c r="A178" s="81">
        <v>1952</v>
      </c>
      <c r="B178" s="81">
        <v>476</v>
      </c>
      <c r="C178" s="81" t="s">
        <v>156</v>
      </c>
      <c r="D178" s="81" t="s">
        <v>179</v>
      </c>
      <c r="E178" s="81">
        <v>46</v>
      </c>
      <c r="G178" s="81" t="s">
        <v>25</v>
      </c>
      <c r="H178" s="81">
        <v>1450</v>
      </c>
      <c r="I178" s="81">
        <v>900</v>
      </c>
      <c r="J178" s="81">
        <v>11</v>
      </c>
      <c r="K178" s="81">
        <v>11.83</v>
      </c>
    </row>
    <row r="179" spans="1:11" x14ac:dyDescent="0.25">
      <c r="A179" s="81">
        <v>1952</v>
      </c>
      <c r="B179" s="81">
        <v>477</v>
      </c>
      <c r="C179" s="81" t="s">
        <v>156</v>
      </c>
      <c r="D179" s="81" t="s">
        <v>180</v>
      </c>
      <c r="E179" s="81">
        <v>46</v>
      </c>
      <c r="G179" s="81" t="s">
        <v>48</v>
      </c>
      <c r="H179" s="81">
        <v>1450</v>
      </c>
      <c r="I179" s="81">
        <v>900</v>
      </c>
      <c r="J179" s="81">
        <v>11</v>
      </c>
      <c r="K179" s="81">
        <v>14.57</v>
      </c>
    </row>
    <row r="180" spans="1:11" x14ac:dyDescent="0.25">
      <c r="A180" s="81">
        <v>1952</v>
      </c>
      <c r="B180" s="81">
        <v>478</v>
      </c>
      <c r="C180" s="81" t="s">
        <v>156</v>
      </c>
      <c r="D180" s="81" t="s">
        <v>181</v>
      </c>
      <c r="E180" s="81">
        <v>46</v>
      </c>
      <c r="G180" s="81" t="s">
        <v>48</v>
      </c>
      <c r="H180" s="81">
        <v>1450</v>
      </c>
      <c r="I180" s="81">
        <v>900</v>
      </c>
      <c r="J180" s="81">
        <v>11</v>
      </c>
      <c r="K180" s="81">
        <v>14.49</v>
      </c>
    </row>
    <row r="181" spans="1:11" x14ac:dyDescent="0.25">
      <c r="A181" s="81">
        <v>1952</v>
      </c>
      <c r="B181" s="81">
        <v>480</v>
      </c>
      <c r="C181" s="81" t="s">
        <v>366</v>
      </c>
      <c r="D181" s="81" t="s">
        <v>54</v>
      </c>
      <c r="E181" s="81">
        <v>58.53</v>
      </c>
      <c r="F181" s="81">
        <v>52.58</v>
      </c>
      <c r="G181" s="81" t="s">
        <v>25</v>
      </c>
      <c r="H181" s="81">
        <v>1150</v>
      </c>
      <c r="I181" s="81">
        <v>815</v>
      </c>
      <c r="J181" s="81">
        <v>13</v>
      </c>
      <c r="K181" s="81">
        <v>11.71</v>
      </c>
    </row>
    <row r="182" spans="1:11" x14ac:dyDescent="0.25">
      <c r="A182" s="81">
        <v>1952</v>
      </c>
      <c r="B182" s="81">
        <v>481</v>
      </c>
      <c r="C182" s="81" t="s">
        <v>366</v>
      </c>
      <c r="D182" s="81" t="s">
        <v>54</v>
      </c>
      <c r="E182" s="81">
        <v>48.86</v>
      </c>
      <c r="F182" s="81">
        <v>43.05</v>
      </c>
      <c r="G182" s="81" t="s">
        <v>47</v>
      </c>
      <c r="H182" s="81">
        <v>1150</v>
      </c>
      <c r="I182" s="81">
        <v>815</v>
      </c>
      <c r="J182" s="81">
        <v>13</v>
      </c>
      <c r="K182" s="81">
        <v>10.58</v>
      </c>
    </row>
    <row r="183" spans="1:11" x14ac:dyDescent="0.25">
      <c r="A183" s="81">
        <v>1952</v>
      </c>
      <c r="B183" s="81">
        <v>482</v>
      </c>
      <c r="C183" s="81" t="s">
        <v>366</v>
      </c>
      <c r="D183" s="81" t="s">
        <v>54</v>
      </c>
      <c r="E183" s="81">
        <v>59</v>
      </c>
      <c r="F183" s="81">
        <v>52.67</v>
      </c>
      <c r="G183" s="81" t="s">
        <v>53</v>
      </c>
      <c r="H183" s="81">
        <v>1150</v>
      </c>
      <c r="I183" s="81">
        <v>815</v>
      </c>
      <c r="J183" s="81">
        <v>13</v>
      </c>
      <c r="K183" s="81">
        <v>9.39</v>
      </c>
    </row>
    <row r="184" spans="1:11" x14ac:dyDescent="0.25">
      <c r="A184" s="81">
        <v>1952</v>
      </c>
      <c r="B184" s="81">
        <v>484</v>
      </c>
      <c r="C184" s="81" t="s">
        <v>156</v>
      </c>
      <c r="D184" s="81" t="s">
        <v>178</v>
      </c>
      <c r="E184" s="81">
        <v>47</v>
      </c>
      <c r="G184" s="81" t="s">
        <v>53</v>
      </c>
      <c r="H184" s="81">
        <v>1450</v>
      </c>
      <c r="I184" s="81">
        <v>900</v>
      </c>
      <c r="J184" s="81">
        <v>11</v>
      </c>
      <c r="K184" s="81">
        <v>8.76</v>
      </c>
    </row>
    <row r="185" spans="1:11" x14ac:dyDescent="0.25">
      <c r="A185" s="81">
        <v>1952</v>
      </c>
      <c r="B185" s="81">
        <v>485</v>
      </c>
      <c r="C185" s="81" t="s">
        <v>156</v>
      </c>
      <c r="D185" s="81" t="s">
        <v>179</v>
      </c>
      <c r="E185" s="81">
        <v>47</v>
      </c>
      <c r="G185" s="81" t="s">
        <v>53</v>
      </c>
      <c r="H185" s="81">
        <v>1450</v>
      </c>
      <c r="I185" s="81">
        <v>900</v>
      </c>
      <c r="J185" s="81">
        <v>11</v>
      </c>
      <c r="K185" s="81">
        <v>8.7100000000000009</v>
      </c>
    </row>
    <row r="186" spans="1:11" x14ac:dyDescent="0.25">
      <c r="A186" s="81">
        <v>1952</v>
      </c>
      <c r="B186" s="81">
        <v>486</v>
      </c>
      <c r="C186" s="81" t="s">
        <v>285</v>
      </c>
      <c r="D186" s="81">
        <v>50</v>
      </c>
      <c r="E186" s="81">
        <v>30.35</v>
      </c>
      <c r="F186" s="81">
        <v>26.32</v>
      </c>
      <c r="G186" s="81" t="s">
        <v>25</v>
      </c>
      <c r="H186" s="81">
        <v>1250</v>
      </c>
      <c r="I186" s="81">
        <v>1250</v>
      </c>
      <c r="J186" s="81">
        <v>9.6875</v>
      </c>
      <c r="K186" s="81">
        <v>11.79</v>
      </c>
    </row>
    <row r="187" spans="1:11" x14ac:dyDescent="0.25">
      <c r="A187" s="81">
        <v>1952</v>
      </c>
      <c r="B187" s="81">
        <v>487</v>
      </c>
      <c r="C187" s="81" t="s">
        <v>1650</v>
      </c>
      <c r="D187" s="81" t="s">
        <v>259</v>
      </c>
      <c r="E187" s="81">
        <v>51.05</v>
      </c>
      <c r="F187" s="81">
        <v>44.45</v>
      </c>
      <c r="G187" s="81" t="s">
        <v>25</v>
      </c>
      <c r="H187" s="81">
        <v>1650</v>
      </c>
    </row>
    <row r="188" spans="1:11" x14ac:dyDescent="0.25">
      <c r="A188" s="81">
        <v>1953</v>
      </c>
      <c r="B188" s="81">
        <v>490</v>
      </c>
      <c r="C188" s="81" t="s">
        <v>285</v>
      </c>
      <c r="D188" s="81">
        <v>60</v>
      </c>
      <c r="E188" s="81">
        <v>32.479999999999997</v>
      </c>
      <c r="F188" s="81">
        <v>28.33</v>
      </c>
      <c r="G188" s="81" t="s">
        <v>50</v>
      </c>
      <c r="H188" s="81">
        <v>975</v>
      </c>
      <c r="I188" s="81">
        <v>975</v>
      </c>
      <c r="J188" s="81">
        <v>12.8125</v>
      </c>
      <c r="K188" s="81">
        <v>10.77</v>
      </c>
    </row>
    <row r="189" spans="1:11" x14ac:dyDescent="0.25">
      <c r="A189" s="81">
        <v>1953</v>
      </c>
      <c r="B189" s="81">
        <v>491</v>
      </c>
      <c r="C189" s="81" t="s">
        <v>156</v>
      </c>
      <c r="D189" s="81" t="s">
        <v>182</v>
      </c>
      <c r="E189" s="81">
        <v>33</v>
      </c>
      <c r="G189" s="81" t="s">
        <v>25</v>
      </c>
      <c r="H189" s="81">
        <v>1650</v>
      </c>
      <c r="I189" s="81">
        <v>1020</v>
      </c>
      <c r="J189" s="81">
        <v>9.75</v>
      </c>
      <c r="K189" s="81">
        <v>11.67</v>
      </c>
    </row>
    <row r="190" spans="1:11" x14ac:dyDescent="0.25">
      <c r="A190" s="81">
        <v>1953</v>
      </c>
      <c r="B190" s="81">
        <v>492</v>
      </c>
      <c r="C190" s="81" t="s">
        <v>156</v>
      </c>
      <c r="D190" s="81" t="s">
        <v>183</v>
      </c>
      <c r="E190" s="81">
        <v>33</v>
      </c>
      <c r="G190" s="81" t="s">
        <v>25</v>
      </c>
      <c r="H190" s="81">
        <v>1650</v>
      </c>
      <c r="I190" s="81">
        <v>1020</v>
      </c>
      <c r="J190" s="81">
        <v>9.75</v>
      </c>
      <c r="K190" s="81">
        <v>11.69</v>
      </c>
    </row>
    <row r="191" spans="1:11" x14ac:dyDescent="0.25">
      <c r="A191" s="81">
        <v>1953</v>
      </c>
      <c r="B191" s="81">
        <v>493</v>
      </c>
      <c r="C191" s="81" t="s">
        <v>285</v>
      </c>
      <c r="D191" s="81">
        <v>70</v>
      </c>
      <c r="E191" s="81">
        <v>48.29</v>
      </c>
      <c r="F191" s="81">
        <v>43</v>
      </c>
      <c r="G191" s="81" t="s">
        <v>25</v>
      </c>
      <c r="H191" s="81">
        <v>975</v>
      </c>
      <c r="I191" s="81">
        <v>975</v>
      </c>
      <c r="J191" s="81">
        <v>12.875</v>
      </c>
      <c r="K191" s="81">
        <v>11.7</v>
      </c>
    </row>
    <row r="192" spans="1:11" x14ac:dyDescent="0.25">
      <c r="A192" s="81">
        <v>1953</v>
      </c>
      <c r="B192" s="81">
        <v>496</v>
      </c>
      <c r="C192" s="81" t="s">
        <v>366</v>
      </c>
      <c r="D192" s="81" t="s">
        <v>236</v>
      </c>
      <c r="E192" s="81">
        <v>31.71</v>
      </c>
      <c r="F192" s="81">
        <v>28.05</v>
      </c>
      <c r="G192" s="81" t="s">
        <v>25</v>
      </c>
      <c r="H192" s="81">
        <v>1600</v>
      </c>
      <c r="I192" s="81">
        <v>1110</v>
      </c>
      <c r="J192" s="81">
        <v>9.25</v>
      </c>
      <c r="K192" s="81">
        <v>11.39</v>
      </c>
    </row>
    <row r="193" spans="1:11" x14ac:dyDescent="0.25">
      <c r="A193" s="81">
        <v>1953</v>
      </c>
      <c r="B193" s="81">
        <v>497</v>
      </c>
      <c r="C193" s="81" t="s">
        <v>366</v>
      </c>
      <c r="D193" s="81" t="s">
        <v>236</v>
      </c>
      <c r="E193" s="81">
        <v>24.97</v>
      </c>
      <c r="F193" s="81">
        <v>1600</v>
      </c>
      <c r="G193" s="81" t="s">
        <v>47</v>
      </c>
      <c r="H193" s="81">
        <v>1600</v>
      </c>
      <c r="I193" s="81">
        <v>1110</v>
      </c>
      <c r="J193" s="81">
        <v>9.25</v>
      </c>
      <c r="K193" s="81">
        <v>10.42</v>
      </c>
    </row>
    <row r="194" spans="1:11" x14ac:dyDescent="0.25">
      <c r="A194" s="81">
        <v>1953</v>
      </c>
      <c r="B194" s="81">
        <v>500</v>
      </c>
      <c r="C194" s="81" t="s">
        <v>1646</v>
      </c>
      <c r="D194" s="81" t="s">
        <v>269</v>
      </c>
      <c r="E194" s="81">
        <v>38.49</v>
      </c>
      <c r="F194" s="81">
        <v>34.6</v>
      </c>
      <c r="G194" s="81" t="s">
        <v>48</v>
      </c>
      <c r="H194" s="81">
        <v>1600</v>
      </c>
      <c r="I194" s="81">
        <v>1600</v>
      </c>
      <c r="J194" s="81">
        <v>8.5</v>
      </c>
      <c r="K194" s="81">
        <v>15.44</v>
      </c>
    </row>
    <row r="195" spans="1:11" x14ac:dyDescent="0.25">
      <c r="A195" s="81">
        <v>1953</v>
      </c>
      <c r="B195" s="81">
        <v>503</v>
      </c>
      <c r="C195" s="81" t="s">
        <v>285</v>
      </c>
      <c r="D195" s="81">
        <v>40</v>
      </c>
      <c r="E195" s="81">
        <v>24.25</v>
      </c>
      <c r="F195" s="81">
        <v>21.47</v>
      </c>
      <c r="G195" s="81" t="s">
        <v>25</v>
      </c>
      <c r="H195" s="81">
        <v>1850</v>
      </c>
      <c r="I195" s="81">
        <v>1270</v>
      </c>
      <c r="J195" s="81">
        <v>9.0625</v>
      </c>
      <c r="K195" s="81">
        <v>11.31</v>
      </c>
    </row>
    <row r="196" spans="1:11" x14ac:dyDescent="0.25">
      <c r="A196" s="81">
        <v>1953</v>
      </c>
      <c r="B196" s="81">
        <v>506</v>
      </c>
      <c r="C196" s="81" t="s">
        <v>285</v>
      </c>
      <c r="D196" s="81">
        <v>70</v>
      </c>
      <c r="E196" s="81">
        <v>43.15</v>
      </c>
      <c r="F196" s="81">
        <v>38.4</v>
      </c>
      <c r="G196" s="81" t="s">
        <v>50</v>
      </c>
      <c r="H196" s="81">
        <v>975</v>
      </c>
      <c r="I196" s="81">
        <v>975</v>
      </c>
      <c r="J196" s="81">
        <v>12.875</v>
      </c>
      <c r="K196" s="81">
        <v>10.9</v>
      </c>
    </row>
    <row r="197" spans="1:11" x14ac:dyDescent="0.25">
      <c r="A197" s="81">
        <v>1953</v>
      </c>
      <c r="B197" s="81">
        <v>507</v>
      </c>
      <c r="C197" s="81" t="s">
        <v>285</v>
      </c>
      <c r="D197" s="81">
        <v>50</v>
      </c>
      <c r="E197" s="81">
        <v>24.83</v>
      </c>
      <c r="F197" s="81">
        <v>21.89</v>
      </c>
      <c r="G197" s="81" t="s">
        <v>50</v>
      </c>
      <c r="H197" s="81">
        <v>1250</v>
      </c>
      <c r="I197" s="81">
        <v>1250</v>
      </c>
      <c r="J197" s="81">
        <v>9.6875</v>
      </c>
      <c r="K197" s="81">
        <v>11.06</v>
      </c>
    </row>
    <row r="198" spans="1:11" x14ac:dyDescent="0.25">
      <c r="A198" s="81">
        <v>1953</v>
      </c>
      <c r="B198" s="81">
        <v>508</v>
      </c>
      <c r="C198" s="81" t="s">
        <v>366</v>
      </c>
      <c r="D198" s="81" t="s">
        <v>238</v>
      </c>
      <c r="E198" s="81">
        <v>63.81</v>
      </c>
      <c r="F198" s="81">
        <v>55.14</v>
      </c>
      <c r="G198" s="81" t="s">
        <v>48</v>
      </c>
      <c r="H198" s="81">
        <v>1350</v>
      </c>
      <c r="I198" s="81">
        <v>960</v>
      </c>
      <c r="J198" s="81">
        <v>13</v>
      </c>
      <c r="K198" s="81">
        <v>16.03</v>
      </c>
    </row>
    <row r="199" spans="1:11" x14ac:dyDescent="0.25">
      <c r="A199" s="81">
        <v>1953</v>
      </c>
      <c r="B199" s="81">
        <v>510</v>
      </c>
      <c r="C199" s="81" t="s">
        <v>1651</v>
      </c>
      <c r="D199" s="81" t="s">
        <v>270</v>
      </c>
      <c r="E199" s="81">
        <v>48.95</v>
      </c>
      <c r="F199" s="81">
        <v>42.81</v>
      </c>
      <c r="G199" s="81" t="s">
        <v>25</v>
      </c>
      <c r="H199" s="81">
        <v>1350</v>
      </c>
      <c r="I199" s="81">
        <v>865</v>
      </c>
      <c r="J199" s="81">
        <v>13.5</v>
      </c>
      <c r="K199" s="81">
        <v>12.34</v>
      </c>
    </row>
    <row r="200" spans="1:11" x14ac:dyDescent="0.25">
      <c r="A200" s="81">
        <v>1953</v>
      </c>
      <c r="B200" s="81">
        <v>513</v>
      </c>
      <c r="C200" s="81" t="s">
        <v>285</v>
      </c>
      <c r="D200" s="81">
        <v>60</v>
      </c>
      <c r="E200" s="81">
        <v>41.18</v>
      </c>
      <c r="F200" s="81">
        <v>35.950000000000003</v>
      </c>
      <c r="G200" s="81" t="s">
        <v>53</v>
      </c>
      <c r="H200" s="81">
        <v>975</v>
      </c>
      <c r="I200" s="81">
        <v>975</v>
      </c>
      <c r="J200" s="81">
        <v>12.8125</v>
      </c>
      <c r="K200" s="81">
        <v>9.2200000000000006</v>
      </c>
    </row>
    <row r="201" spans="1:11" x14ac:dyDescent="0.25">
      <c r="A201" s="81">
        <v>1953</v>
      </c>
      <c r="B201" s="81">
        <v>514</v>
      </c>
      <c r="C201" s="81" t="s">
        <v>285</v>
      </c>
      <c r="D201" s="81">
        <v>70</v>
      </c>
      <c r="E201" s="81">
        <v>50.86</v>
      </c>
      <c r="F201" s="81">
        <v>44.2</v>
      </c>
      <c r="G201" s="81" t="s">
        <v>53</v>
      </c>
      <c r="H201" s="81">
        <v>975</v>
      </c>
      <c r="I201" s="81">
        <v>975</v>
      </c>
      <c r="J201" s="81">
        <v>12.875</v>
      </c>
      <c r="K201" s="81">
        <v>9.52</v>
      </c>
    </row>
    <row r="202" spans="1:11" x14ac:dyDescent="0.25">
      <c r="A202" s="81">
        <v>1954</v>
      </c>
      <c r="B202" s="81">
        <v>518</v>
      </c>
      <c r="C202" s="81" t="s">
        <v>156</v>
      </c>
      <c r="D202" s="81" t="s">
        <v>184</v>
      </c>
      <c r="E202" s="81">
        <v>65</v>
      </c>
      <c r="G202" s="81" t="s">
        <v>48</v>
      </c>
      <c r="H202" s="81">
        <v>1500</v>
      </c>
      <c r="I202" s="81">
        <v>707</v>
      </c>
      <c r="J202" s="81">
        <v>14</v>
      </c>
      <c r="K202" s="81">
        <v>14.71</v>
      </c>
    </row>
    <row r="203" spans="1:11" x14ac:dyDescent="0.25">
      <c r="A203" s="81">
        <v>1954</v>
      </c>
      <c r="B203" s="81">
        <v>518</v>
      </c>
      <c r="C203" s="81" t="s">
        <v>156</v>
      </c>
      <c r="D203" s="81" t="s">
        <v>185</v>
      </c>
      <c r="E203" s="81">
        <v>65</v>
      </c>
      <c r="G203" s="81" t="s">
        <v>48</v>
      </c>
      <c r="H203" s="81">
        <v>1500</v>
      </c>
      <c r="I203" s="81">
        <v>707</v>
      </c>
      <c r="J203" s="81">
        <v>14</v>
      </c>
      <c r="K203" s="81">
        <v>14.71</v>
      </c>
    </row>
    <row r="204" spans="1:11" x14ac:dyDescent="0.25">
      <c r="A204" s="81">
        <v>1954</v>
      </c>
      <c r="B204" s="81">
        <v>518</v>
      </c>
      <c r="C204" s="81" t="s">
        <v>156</v>
      </c>
      <c r="D204" s="81" t="s">
        <v>186</v>
      </c>
      <c r="E204" s="81">
        <v>65</v>
      </c>
      <c r="G204" s="81" t="s">
        <v>48</v>
      </c>
      <c r="H204" s="81">
        <v>1500</v>
      </c>
      <c r="I204" s="81">
        <v>707</v>
      </c>
      <c r="J204" s="81">
        <v>14</v>
      </c>
      <c r="K204" s="81">
        <v>14.71</v>
      </c>
    </row>
    <row r="205" spans="1:11" x14ac:dyDescent="0.25">
      <c r="A205" s="81">
        <v>1954</v>
      </c>
      <c r="B205" s="81">
        <v>520</v>
      </c>
      <c r="C205" s="81" t="s">
        <v>1649</v>
      </c>
      <c r="D205" s="81" t="s">
        <v>93</v>
      </c>
      <c r="E205" s="81">
        <v>48.38</v>
      </c>
      <c r="F205" s="81">
        <v>42.91</v>
      </c>
      <c r="G205" s="81" t="s">
        <v>25</v>
      </c>
      <c r="H205" s="81">
        <v>1300</v>
      </c>
      <c r="I205" s="81">
        <v>741</v>
      </c>
      <c r="J205" s="81">
        <v>16</v>
      </c>
      <c r="K205" s="81">
        <v>11.93</v>
      </c>
    </row>
    <row r="206" spans="1:11" x14ac:dyDescent="0.25">
      <c r="A206" s="81">
        <v>1954</v>
      </c>
      <c r="B206" s="81">
        <v>521</v>
      </c>
      <c r="C206" s="81" t="s">
        <v>1649</v>
      </c>
      <c r="D206" s="81" t="s">
        <v>94</v>
      </c>
      <c r="E206" s="81">
        <v>37.229999999999997</v>
      </c>
      <c r="F206" s="81">
        <v>33.46</v>
      </c>
      <c r="G206" s="81" t="s">
        <v>47</v>
      </c>
      <c r="H206" s="81">
        <v>1300</v>
      </c>
      <c r="I206" s="81">
        <v>741</v>
      </c>
      <c r="J206" s="81">
        <v>16</v>
      </c>
      <c r="K206" s="81">
        <v>10.210000000000001</v>
      </c>
    </row>
    <row r="207" spans="1:11" x14ac:dyDescent="0.25">
      <c r="A207" s="81">
        <v>1954</v>
      </c>
      <c r="B207" s="81">
        <v>522</v>
      </c>
      <c r="C207" s="81" t="s">
        <v>1649</v>
      </c>
      <c r="D207" s="81" t="s">
        <v>93</v>
      </c>
      <c r="E207" s="81">
        <v>51.27</v>
      </c>
      <c r="F207" s="81">
        <v>45.24</v>
      </c>
      <c r="G207" s="81" t="s">
        <v>53</v>
      </c>
      <c r="H207" s="81">
        <v>1300</v>
      </c>
      <c r="I207" s="81">
        <v>741</v>
      </c>
      <c r="J207" s="81">
        <v>16</v>
      </c>
      <c r="K207" s="81">
        <v>9.2899999999999991</v>
      </c>
    </row>
    <row r="208" spans="1:11" x14ac:dyDescent="0.25">
      <c r="A208" s="81">
        <v>1954</v>
      </c>
      <c r="B208" s="81">
        <v>524</v>
      </c>
      <c r="C208" s="81" t="s">
        <v>1388</v>
      </c>
      <c r="D208" s="81" t="s">
        <v>133</v>
      </c>
      <c r="E208" s="81">
        <v>34.39</v>
      </c>
      <c r="F208" s="81">
        <v>30.58</v>
      </c>
      <c r="G208" s="81" t="s">
        <v>25</v>
      </c>
      <c r="H208" s="81">
        <v>2000</v>
      </c>
      <c r="I208" s="81">
        <v>1320</v>
      </c>
      <c r="J208" s="81">
        <v>9</v>
      </c>
      <c r="K208" s="81">
        <v>10.91</v>
      </c>
    </row>
    <row r="209" spans="1:11" x14ac:dyDescent="0.25">
      <c r="A209" s="81">
        <v>1954</v>
      </c>
      <c r="B209" s="81">
        <v>525</v>
      </c>
      <c r="C209" s="81" t="s">
        <v>1388</v>
      </c>
      <c r="D209" s="81" t="s">
        <v>134</v>
      </c>
      <c r="E209" s="81">
        <v>55.77</v>
      </c>
      <c r="F209" s="81">
        <v>49.59</v>
      </c>
      <c r="G209" s="81" t="s">
        <v>25</v>
      </c>
      <c r="H209" s="81">
        <v>1600</v>
      </c>
      <c r="I209" s="81">
        <v>992</v>
      </c>
      <c r="J209" s="81">
        <v>11.875</v>
      </c>
      <c r="K209" s="81">
        <v>12.24</v>
      </c>
    </row>
    <row r="210" spans="1:11" x14ac:dyDescent="0.25">
      <c r="A210" s="81">
        <v>1954</v>
      </c>
      <c r="B210" s="81">
        <v>526</v>
      </c>
      <c r="C210" s="81" t="s">
        <v>1388</v>
      </c>
      <c r="D210" s="81" t="s">
        <v>135</v>
      </c>
      <c r="E210" s="81">
        <v>33.71</v>
      </c>
      <c r="F210" s="81">
        <v>28.97</v>
      </c>
      <c r="G210" s="81" t="s">
        <v>48</v>
      </c>
      <c r="H210" s="81">
        <v>2000</v>
      </c>
      <c r="I210" s="81">
        <v>1320</v>
      </c>
      <c r="J210" s="81">
        <v>9</v>
      </c>
      <c r="K210" s="81">
        <v>14.04</v>
      </c>
    </row>
    <row r="211" spans="1:11" x14ac:dyDescent="0.25">
      <c r="A211" s="81">
        <v>1954</v>
      </c>
      <c r="B211" s="81">
        <v>527</v>
      </c>
      <c r="C211" s="81" t="s">
        <v>1388</v>
      </c>
      <c r="D211" s="81" t="s">
        <v>136</v>
      </c>
      <c r="E211" s="81">
        <v>54.88</v>
      </c>
      <c r="F211" s="81">
        <v>47.7</v>
      </c>
      <c r="G211" s="81" t="s">
        <v>48</v>
      </c>
      <c r="H211" s="81">
        <v>1600</v>
      </c>
      <c r="I211" s="81">
        <v>990</v>
      </c>
      <c r="J211" s="81">
        <v>11.875</v>
      </c>
      <c r="K211" s="81">
        <v>15.37</v>
      </c>
    </row>
    <row r="212" spans="1:11" x14ac:dyDescent="0.25">
      <c r="A212" s="81">
        <v>1954</v>
      </c>
      <c r="B212" s="81">
        <v>528</v>
      </c>
      <c r="C212" s="81" t="s">
        <v>285</v>
      </c>
      <c r="D212" s="81">
        <v>70</v>
      </c>
      <c r="E212" s="81">
        <v>50.4</v>
      </c>
      <c r="F212" s="81">
        <v>44.14</v>
      </c>
      <c r="G212" s="81" t="s">
        <v>48</v>
      </c>
      <c r="H212" s="81">
        <v>1125</v>
      </c>
      <c r="I212" s="81">
        <v>1125</v>
      </c>
      <c r="J212" s="81">
        <v>12.875</v>
      </c>
      <c r="K212" s="81">
        <v>17.72</v>
      </c>
    </row>
    <row r="213" spans="1:11" x14ac:dyDescent="0.25">
      <c r="A213" s="81">
        <v>1954</v>
      </c>
      <c r="B213" s="81">
        <v>532</v>
      </c>
      <c r="C213" s="81" t="s">
        <v>156</v>
      </c>
      <c r="D213" s="81" t="s">
        <v>187</v>
      </c>
      <c r="E213" s="81">
        <v>50</v>
      </c>
      <c r="G213" s="81" t="s">
        <v>25</v>
      </c>
      <c r="H213" s="81">
        <v>1450</v>
      </c>
      <c r="I213" s="81">
        <v>900</v>
      </c>
      <c r="J213" s="81">
        <v>11</v>
      </c>
      <c r="K213" s="81">
        <v>11.67</v>
      </c>
    </row>
    <row r="214" spans="1:11" x14ac:dyDescent="0.25">
      <c r="A214" s="81">
        <v>1954</v>
      </c>
      <c r="B214" s="81">
        <v>533</v>
      </c>
      <c r="C214" s="81" t="s">
        <v>156</v>
      </c>
      <c r="D214" s="81" t="s">
        <v>188</v>
      </c>
      <c r="E214" s="81">
        <v>52</v>
      </c>
      <c r="G214" s="81" t="s">
        <v>25</v>
      </c>
      <c r="H214" s="81">
        <v>1450</v>
      </c>
      <c r="I214" s="81">
        <v>1450</v>
      </c>
      <c r="J214" s="81">
        <v>11</v>
      </c>
      <c r="K214" s="81">
        <v>11.81</v>
      </c>
    </row>
    <row r="215" spans="1:11" x14ac:dyDescent="0.25">
      <c r="A215" s="81">
        <v>1955</v>
      </c>
      <c r="B215" s="81">
        <v>534</v>
      </c>
      <c r="C215" s="81" t="s">
        <v>156</v>
      </c>
      <c r="D215" s="81" t="s">
        <v>187</v>
      </c>
      <c r="E215" s="81">
        <v>46</v>
      </c>
      <c r="G215" s="81" t="s">
        <v>48</v>
      </c>
      <c r="H215" s="81">
        <v>1450</v>
      </c>
      <c r="I215" s="81">
        <v>900</v>
      </c>
      <c r="J215" s="81">
        <v>11</v>
      </c>
      <c r="K215" s="81">
        <v>14.1</v>
      </c>
    </row>
    <row r="216" spans="1:11" x14ac:dyDescent="0.25">
      <c r="A216" s="81">
        <v>1955</v>
      </c>
      <c r="B216" s="81">
        <v>535</v>
      </c>
      <c r="C216" s="81" t="s">
        <v>156</v>
      </c>
      <c r="D216" s="81" t="s">
        <v>189</v>
      </c>
      <c r="E216" s="81">
        <v>46</v>
      </c>
      <c r="G216" s="81" t="s">
        <v>48</v>
      </c>
      <c r="H216" s="81">
        <v>1450</v>
      </c>
      <c r="I216" s="81">
        <v>900</v>
      </c>
      <c r="J216" s="81">
        <v>11</v>
      </c>
      <c r="K216" s="81">
        <v>13.89</v>
      </c>
    </row>
    <row r="217" spans="1:11" x14ac:dyDescent="0.25">
      <c r="A217" s="81">
        <v>1955</v>
      </c>
      <c r="B217" s="81">
        <v>536</v>
      </c>
      <c r="C217" s="81" t="s">
        <v>156</v>
      </c>
      <c r="D217" s="81" t="s">
        <v>190</v>
      </c>
      <c r="E217" s="81">
        <v>24</v>
      </c>
      <c r="G217" s="81" t="s">
        <v>25</v>
      </c>
      <c r="H217" s="81">
        <v>1650</v>
      </c>
      <c r="I217" s="81">
        <v>1365</v>
      </c>
      <c r="J217" s="81">
        <v>8.5</v>
      </c>
      <c r="K217" s="81">
        <v>10.35</v>
      </c>
    </row>
    <row r="218" spans="1:11" x14ac:dyDescent="0.25">
      <c r="A218" s="81">
        <v>1955</v>
      </c>
      <c r="B218" s="81">
        <v>537</v>
      </c>
      <c r="C218" s="81" t="s">
        <v>156</v>
      </c>
      <c r="D218" s="81" t="s">
        <v>191</v>
      </c>
      <c r="E218" s="81">
        <v>20</v>
      </c>
      <c r="G218" s="81" t="s">
        <v>25</v>
      </c>
      <c r="H218" s="81">
        <v>1400</v>
      </c>
      <c r="I218" s="81">
        <v>1150</v>
      </c>
      <c r="J218" s="81">
        <v>8.5</v>
      </c>
      <c r="K218" s="81">
        <v>10.44</v>
      </c>
    </row>
    <row r="219" spans="1:11" x14ac:dyDescent="0.25">
      <c r="A219" s="81">
        <v>1955</v>
      </c>
      <c r="B219" s="81">
        <v>538</v>
      </c>
      <c r="C219" s="81" t="s">
        <v>156</v>
      </c>
      <c r="D219" s="81" t="s">
        <v>192</v>
      </c>
      <c r="E219" s="81">
        <v>38</v>
      </c>
      <c r="G219" s="81" t="s">
        <v>25</v>
      </c>
      <c r="H219" s="81">
        <v>1750</v>
      </c>
      <c r="I219" s="81">
        <v>2760</v>
      </c>
      <c r="J219" s="81">
        <v>9.75</v>
      </c>
      <c r="K219" s="81">
        <v>11.59</v>
      </c>
    </row>
    <row r="220" spans="1:11" x14ac:dyDescent="0.25">
      <c r="A220" s="81">
        <v>1955</v>
      </c>
      <c r="B220" s="81">
        <v>539</v>
      </c>
      <c r="C220" s="81" t="s">
        <v>156</v>
      </c>
      <c r="D220" s="81" t="s">
        <v>193</v>
      </c>
      <c r="E220" s="81">
        <v>41</v>
      </c>
      <c r="G220" s="81" t="s">
        <v>25</v>
      </c>
      <c r="H220" s="81">
        <v>2000</v>
      </c>
      <c r="I220" s="81">
        <v>1185</v>
      </c>
      <c r="J220" s="81">
        <v>10</v>
      </c>
      <c r="K220" s="81">
        <v>11.26</v>
      </c>
    </row>
    <row r="221" spans="1:11" x14ac:dyDescent="0.25">
      <c r="A221" s="81">
        <v>1955</v>
      </c>
      <c r="B221" s="81">
        <v>540</v>
      </c>
      <c r="C221" s="81" t="s">
        <v>285</v>
      </c>
      <c r="D221" s="81">
        <v>50</v>
      </c>
      <c r="E221" s="81">
        <v>31.2</v>
      </c>
      <c r="F221" s="81">
        <v>27.61</v>
      </c>
      <c r="G221" s="81" t="s">
        <v>53</v>
      </c>
      <c r="H221" s="81">
        <v>1250</v>
      </c>
      <c r="I221" s="81">
        <v>1250</v>
      </c>
      <c r="J221" s="81">
        <v>9.6875</v>
      </c>
      <c r="K221" s="81">
        <v>9.0299999999999994</v>
      </c>
    </row>
    <row r="222" spans="1:11" x14ac:dyDescent="0.25">
      <c r="A222" s="81">
        <v>1955</v>
      </c>
      <c r="B222" s="81">
        <v>541</v>
      </c>
      <c r="C222" s="81" t="s">
        <v>1388</v>
      </c>
      <c r="D222" s="81" t="s">
        <v>137</v>
      </c>
      <c r="E222" s="81">
        <v>33.619999999999997</v>
      </c>
      <c r="F222" s="81">
        <v>30.31</v>
      </c>
      <c r="G222" s="81" t="s">
        <v>25</v>
      </c>
      <c r="H222" s="81">
        <v>2000</v>
      </c>
      <c r="I222" s="81">
        <v>1230</v>
      </c>
      <c r="J222" s="81">
        <v>9.5</v>
      </c>
      <c r="K222" s="81">
        <v>10.95</v>
      </c>
    </row>
    <row r="223" spans="1:11" x14ac:dyDescent="0.25">
      <c r="A223" s="81">
        <v>1955</v>
      </c>
      <c r="B223" s="81">
        <v>542</v>
      </c>
      <c r="C223" s="81" t="s">
        <v>1388</v>
      </c>
      <c r="D223" s="81" t="s">
        <v>138</v>
      </c>
      <c r="E223" s="81">
        <v>43.98</v>
      </c>
      <c r="F223" s="81">
        <v>39.299999999999997</v>
      </c>
      <c r="G223" s="81" t="s">
        <v>25</v>
      </c>
      <c r="H223" s="81">
        <v>1600</v>
      </c>
      <c r="I223" s="81">
        <v>990</v>
      </c>
      <c r="J223" s="81">
        <v>11.875</v>
      </c>
      <c r="K223" s="81">
        <v>11.29</v>
      </c>
    </row>
    <row r="224" spans="1:11" x14ac:dyDescent="0.25">
      <c r="A224" s="81">
        <v>1955</v>
      </c>
      <c r="B224" s="81">
        <v>543</v>
      </c>
      <c r="C224" s="81" t="s">
        <v>1388</v>
      </c>
      <c r="D224" s="81" t="s">
        <v>139</v>
      </c>
      <c r="E224" s="81">
        <v>44.05</v>
      </c>
      <c r="F224" s="81">
        <v>39.14</v>
      </c>
      <c r="G224" s="81" t="s">
        <v>48</v>
      </c>
      <c r="H224" s="81">
        <v>1600</v>
      </c>
      <c r="I224" s="81">
        <v>990</v>
      </c>
      <c r="J224" s="81">
        <v>11.875</v>
      </c>
      <c r="K224" s="81">
        <v>15.09</v>
      </c>
    </row>
    <row r="225" spans="1:11" x14ac:dyDescent="0.25">
      <c r="A225" s="81">
        <v>1955</v>
      </c>
      <c r="B225" s="81">
        <v>544</v>
      </c>
      <c r="C225" s="81" t="s">
        <v>1388</v>
      </c>
      <c r="D225" s="81" t="s">
        <v>140</v>
      </c>
      <c r="E225" s="81">
        <v>33.69</v>
      </c>
      <c r="F225" s="81">
        <v>30.14</v>
      </c>
      <c r="G225" s="81" t="s">
        <v>48</v>
      </c>
      <c r="H225" s="81">
        <v>2000</v>
      </c>
      <c r="I225" s="81">
        <v>1230</v>
      </c>
      <c r="J225" s="81">
        <v>9.5</v>
      </c>
      <c r="K225" s="81">
        <v>14.28</v>
      </c>
    </row>
    <row r="226" spans="1:11" x14ac:dyDescent="0.25">
      <c r="A226" s="81">
        <v>1955</v>
      </c>
      <c r="B226" s="81">
        <v>545</v>
      </c>
      <c r="C226" s="81" t="s">
        <v>1649</v>
      </c>
      <c r="D226" s="81" t="s">
        <v>95</v>
      </c>
      <c r="E226" s="81">
        <v>70.55</v>
      </c>
      <c r="F226" s="81">
        <v>63.75</v>
      </c>
      <c r="G226" s="81" t="s">
        <v>53</v>
      </c>
      <c r="H226" s="81">
        <v>1300</v>
      </c>
      <c r="I226" s="81">
        <v>741</v>
      </c>
      <c r="J226" s="81">
        <v>16</v>
      </c>
      <c r="K226" s="81">
        <v>9.68</v>
      </c>
    </row>
    <row r="227" spans="1:11" x14ac:dyDescent="0.25">
      <c r="A227" s="81">
        <v>1955</v>
      </c>
      <c r="B227" s="81">
        <v>546</v>
      </c>
      <c r="C227" s="81" t="s">
        <v>285</v>
      </c>
      <c r="D227" s="81">
        <v>40</v>
      </c>
      <c r="E227" s="81">
        <v>20.04</v>
      </c>
      <c r="F227" s="81">
        <v>17.8</v>
      </c>
      <c r="G227" s="81" t="s">
        <v>50</v>
      </c>
      <c r="H227" s="81">
        <v>1850</v>
      </c>
      <c r="I227" s="81">
        <v>1270</v>
      </c>
      <c r="J227" s="81">
        <v>9.0625</v>
      </c>
      <c r="K227" s="81">
        <v>9.8000000000000007</v>
      </c>
    </row>
    <row r="228" spans="1:11" x14ac:dyDescent="0.25">
      <c r="A228" s="81">
        <v>1955</v>
      </c>
      <c r="B228" s="81">
        <v>547</v>
      </c>
      <c r="C228" s="81" t="s">
        <v>1649</v>
      </c>
      <c r="D228" s="81" t="s">
        <v>95</v>
      </c>
      <c r="E228" s="81">
        <v>65.64</v>
      </c>
      <c r="F228" s="81">
        <v>58.51</v>
      </c>
      <c r="G228" s="81" t="s">
        <v>25</v>
      </c>
      <c r="H228" s="81">
        <v>1300</v>
      </c>
      <c r="I228" s="81">
        <v>741</v>
      </c>
      <c r="J228" s="81">
        <v>16</v>
      </c>
      <c r="K228" s="81">
        <v>11.42</v>
      </c>
    </row>
    <row r="229" spans="1:11" x14ac:dyDescent="0.25">
      <c r="A229" s="81">
        <v>1955</v>
      </c>
      <c r="B229" s="81">
        <v>548</v>
      </c>
      <c r="C229" s="81" t="s">
        <v>1388</v>
      </c>
      <c r="D229" s="81" t="s">
        <v>141</v>
      </c>
      <c r="E229" s="81">
        <v>57.93</v>
      </c>
      <c r="F229" s="81">
        <v>51.45</v>
      </c>
      <c r="G229" s="81" t="s">
        <v>25</v>
      </c>
      <c r="H229" s="81">
        <v>1750</v>
      </c>
      <c r="I229" s="81">
        <v>1030</v>
      </c>
      <c r="J229" s="81">
        <v>12</v>
      </c>
      <c r="K229" s="81">
        <v>10.26</v>
      </c>
    </row>
    <row r="230" spans="1:11" x14ac:dyDescent="0.25">
      <c r="A230" s="81">
        <v>1955</v>
      </c>
      <c r="B230" s="81">
        <v>549</v>
      </c>
      <c r="C230" s="81" t="s">
        <v>1388</v>
      </c>
      <c r="D230" s="81" t="s">
        <v>141</v>
      </c>
      <c r="E230" s="81">
        <v>56.55</v>
      </c>
      <c r="F230" s="81">
        <v>50.33</v>
      </c>
      <c r="G230" s="81" t="s">
        <v>48</v>
      </c>
      <c r="H230" s="81">
        <v>1750</v>
      </c>
      <c r="I230" s="81">
        <v>1030</v>
      </c>
      <c r="J230" s="81">
        <v>12</v>
      </c>
      <c r="K230" s="81">
        <v>12.51</v>
      </c>
    </row>
    <row r="231" spans="1:11" x14ac:dyDescent="0.25">
      <c r="A231" s="81">
        <v>1955</v>
      </c>
      <c r="B231" s="81">
        <v>556</v>
      </c>
      <c r="C231" s="81" t="s">
        <v>1388</v>
      </c>
      <c r="D231" s="81" t="s">
        <v>142</v>
      </c>
      <c r="E231" s="81">
        <v>78.739999999999995</v>
      </c>
      <c r="F231" s="81">
        <v>71.55</v>
      </c>
      <c r="G231" s="81" t="s">
        <v>48</v>
      </c>
      <c r="H231" s="81">
        <v>1675</v>
      </c>
      <c r="I231" s="81">
        <v>1000</v>
      </c>
      <c r="J231" s="81">
        <v>12.25</v>
      </c>
      <c r="K231" s="81">
        <v>13.76</v>
      </c>
    </row>
    <row r="232" spans="1:11" x14ac:dyDescent="0.25">
      <c r="A232" s="81">
        <v>1955</v>
      </c>
      <c r="B232" s="81">
        <v>557</v>
      </c>
      <c r="C232" s="81" t="s">
        <v>1388</v>
      </c>
      <c r="D232" s="81" t="s">
        <v>143</v>
      </c>
      <c r="E232" s="81">
        <v>62.39</v>
      </c>
      <c r="F232" s="81">
        <v>55.41</v>
      </c>
      <c r="G232" s="81" t="s">
        <v>48</v>
      </c>
      <c r="H232" s="81">
        <v>1675</v>
      </c>
      <c r="I232" s="81">
        <v>1000</v>
      </c>
      <c r="J232" s="81">
        <v>12.25</v>
      </c>
      <c r="K232" s="81">
        <v>14.75</v>
      </c>
    </row>
    <row r="233" spans="1:11" x14ac:dyDescent="0.25">
      <c r="A233" s="81">
        <v>1955</v>
      </c>
      <c r="B233" s="81">
        <v>565</v>
      </c>
      <c r="C233" s="81" t="s">
        <v>366</v>
      </c>
      <c r="D233" s="81" t="s">
        <v>239</v>
      </c>
      <c r="E233" s="81">
        <v>49.4</v>
      </c>
      <c r="F233" s="81">
        <v>43.55</v>
      </c>
      <c r="G233" s="81" t="s">
        <v>48</v>
      </c>
      <c r="H233" s="81">
        <v>1500</v>
      </c>
      <c r="I233" s="81">
        <v>1170</v>
      </c>
      <c r="J233" s="81">
        <v>10.5</v>
      </c>
      <c r="K233" s="81">
        <v>16.170000000000002</v>
      </c>
    </row>
    <row r="234" spans="1:11" x14ac:dyDescent="0.25">
      <c r="A234" s="81">
        <v>1955</v>
      </c>
      <c r="B234" s="81">
        <v>566</v>
      </c>
      <c r="C234" s="81" t="s">
        <v>366</v>
      </c>
      <c r="D234" s="81" t="s">
        <v>240</v>
      </c>
      <c r="E234" s="81">
        <v>53.25</v>
      </c>
      <c r="F234" s="81">
        <v>46.7</v>
      </c>
      <c r="G234" s="81" t="s">
        <v>25</v>
      </c>
      <c r="H234" s="81">
        <v>1500</v>
      </c>
      <c r="I234" s="81">
        <v>1170</v>
      </c>
      <c r="J234" s="81">
        <v>10.5</v>
      </c>
      <c r="K234" s="81">
        <v>12.74</v>
      </c>
    </row>
    <row r="235" spans="1:11" x14ac:dyDescent="0.25">
      <c r="A235" s="81">
        <v>1955</v>
      </c>
      <c r="B235" s="81">
        <v>567</v>
      </c>
      <c r="C235" s="81" t="s">
        <v>285</v>
      </c>
      <c r="D235" s="81">
        <v>80</v>
      </c>
      <c r="E235" s="81">
        <v>65.33</v>
      </c>
      <c r="F235" s="81">
        <v>57.52</v>
      </c>
      <c r="G235" s="81" t="s">
        <v>48</v>
      </c>
      <c r="H235" s="81">
        <v>1125</v>
      </c>
      <c r="I235" s="81">
        <v>1125</v>
      </c>
      <c r="J235" s="81">
        <v>12.21875</v>
      </c>
      <c r="K235" s="81">
        <v>17.84</v>
      </c>
    </row>
    <row r="236" spans="1:11" x14ac:dyDescent="0.25">
      <c r="A236" s="81">
        <v>1955</v>
      </c>
      <c r="B236" s="81">
        <v>568</v>
      </c>
      <c r="C236" s="81" t="s">
        <v>1649</v>
      </c>
      <c r="D236" s="81" t="s">
        <v>95</v>
      </c>
      <c r="E236" s="81">
        <v>62.78</v>
      </c>
      <c r="F236" s="81">
        <v>55.9</v>
      </c>
      <c r="G236" s="81" t="s">
        <v>48</v>
      </c>
      <c r="H236" s="81">
        <v>1300</v>
      </c>
      <c r="I236" s="81">
        <v>741</v>
      </c>
      <c r="J236" s="81">
        <v>16</v>
      </c>
      <c r="K236" s="81">
        <v>15.38</v>
      </c>
    </row>
    <row r="237" spans="1:11" x14ac:dyDescent="0.25">
      <c r="A237" s="81">
        <v>1956</v>
      </c>
      <c r="B237" s="81">
        <v>571</v>
      </c>
      <c r="C237" s="81" t="s">
        <v>156</v>
      </c>
      <c r="D237" s="81" t="s">
        <v>187</v>
      </c>
      <c r="E237" s="81">
        <v>52</v>
      </c>
      <c r="G237" s="81" t="s">
        <v>53</v>
      </c>
      <c r="H237" s="81">
        <v>1450</v>
      </c>
      <c r="I237" s="81">
        <v>900</v>
      </c>
      <c r="J237" s="81">
        <v>11</v>
      </c>
      <c r="K237" s="81">
        <v>9.7799999999999994</v>
      </c>
    </row>
    <row r="238" spans="1:11" x14ac:dyDescent="0.25">
      <c r="A238" s="81">
        <v>1956</v>
      </c>
      <c r="B238" s="81">
        <v>572</v>
      </c>
      <c r="C238" s="81" t="s">
        <v>156</v>
      </c>
      <c r="D238" s="81" t="s">
        <v>189</v>
      </c>
      <c r="E238" s="81">
        <v>50</v>
      </c>
      <c r="G238" s="81" t="s">
        <v>53</v>
      </c>
      <c r="H238" s="81">
        <v>1450</v>
      </c>
      <c r="I238" s="81">
        <v>900</v>
      </c>
      <c r="J238" s="81">
        <v>11</v>
      </c>
      <c r="K238" s="81">
        <v>9.64</v>
      </c>
    </row>
    <row r="239" spans="1:11" x14ac:dyDescent="0.25">
      <c r="A239" s="81">
        <v>1956</v>
      </c>
      <c r="B239" s="81">
        <v>573</v>
      </c>
      <c r="C239" s="81" t="s">
        <v>156</v>
      </c>
      <c r="D239" s="81" t="s">
        <v>192</v>
      </c>
      <c r="E239" s="81">
        <v>38</v>
      </c>
      <c r="G239" s="81" t="s">
        <v>53</v>
      </c>
      <c r="H239" s="81">
        <v>1750</v>
      </c>
      <c r="I239" s="81">
        <v>1080</v>
      </c>
      <c r="J239" s="81">
        <v>9.75</v>
      </c>
      <c r="K239" s="81">
        <v>3.9460000000000002</v>
      </c>
    </row>
    <row r="240" spans="1:11" x14ac:dyDescent="0.25">
      <c r="A240" s="81">
        <v>1956</v>
      </c>
      <c r="B240" s="81">
        <v>574</v>
      </c>
      <c r="C240" s="81" t="s">
        <v>156</v>
      </c>
      <c r="D240" s="81" t="s">
        <v>193</v>
      </c>
      <c r="E240" s="81">
        <v>42</v>
      </c>
      <c r="G240" s="81" t="s">
        <v>53</v>
      </c>
      <c r="H240" s="81">
        <v>2000</v>
      </c>
      <c r="I240" s="81">
        <v>1080</v>
      </c>
      <c r="J240" s="81">
        <v>11</v>
      </c>
      <c r="K240" s="81">
        <v>4.327</v>
      </c>
    </row>
    <row r="241" spans="1:11" x14ac:dyDescent="0.25">
      <c r="A241" s="81">
        <v>1956</v>
      </c>
      <c r="B241" s="81">
        <v>575</v>
      </c>
      <c r="C241" s="81" t="s">
        <v>156</v>
      </c>
      <c r="D241" s="81" t="s">
        <v>194</v>
      </c>
      <c r="E241" s="81">
        <v>10</v>
      </c>
      <c r="G241" s="81" t="s">
        <v>25</v>
      </c>
      <c r="H241" s="81">
        <v>1800</v>
      </c>
      <c r="I241" s="81">
        <v>1485</v>
      </c>
      <c r="J241" s="81">
        <v>9</v>
      </c>
      <c r="K241" s="81">
        <v>9.15</v>
      </c>
    </row>
    <row r="242" spans="1:11" x14ac:dyDescent="0.25">
      <c r="A242" s="81">
        <v>1956</v>
      </c>
      <c r="B242" s="81">
        <v>578</v>
      </c>
      <c r="C242" s="81" t="s">
        <v>1649</v>
      </c>
      <c r="D242" s="81" t="s">
        <v>96</v>
      </c>
      <c r="E242" s="81">
        <v>41.95</v>
      </c>
      <c r="F242" s="81">
        <v>37.950000000000003</v>
      </c>
      <c r="G242" s="81" t="s">
        <v>25</v>
      </c>
      <c r="H242" s="81">
        <v>1550</v>
      </c>
      <c r="I242" s="81">
        <v>1470</v>
      </c>
      <c r="J242" s="81">
        <v>8.125</v>
      </c>
      <c r="K242" s="81">
        <v>11.87</v>
      </c>
    </row>
    <row r="243" spans="1:11" x14ac:dyDescent="0.25">
      <c r="A243" s="81">
        <v>1956</v>
      </c>
      <c r="B243" s="81">
        <v>579</v>
      </c>
      <c r="C243" s="81" t="s">
        <v>1649</v>
      </c>
      <c r="D243" s="81" t="s">
        <v>97</v>
      </c>
      <c r="E243" s="81">
        <v>41.95</v>
      </c>
      <c r="F243" s="81">
        <v>37.700000000000003</v>
      </c>
      <c r="G243" s="81" t="s">
        <v>25</v>
      </c>
      <c r="H243" s="81">
        <v>1550</v>
      </c>
      <c r="I243" s="81">
        <v>1470</v>
      </c>
      <c r="J243" s="81">
        <v>8.125</v>
      </c>
      <c r="K243" s="81">
        <v>11.84</v>
      </c>
    </row>
    <row r="244" spans="1:11" x14ac:dyDescent="0.25">
      <c r="A244" s="81">
        <v>1956</v>
      </c>
      <c r="B244" s="81">
        <v>590</v>
      </c>
      <c r="C244" s="81" t="s">
        <v>285</v>
      </c>
      <c r="D244" s="81">
        <v>520</v>
      </c>
      <c r="E244" s="81">
        <v>37.24</v>
      </c>
      <c r="F244" s="81">
        <v>32.46</v>
      </c>
      <c r="G244" s="81" t="s">
        <v>53</v>
      </c>
      <c r="H244" s="81">
        <v>1325</v>
      </c>
      <c r="I244" s="81">
        <v>1325</v>
      </c>
      <c r="J244" s="81">
        <v>9.6875</v>
      </c>
      <c r="K244" s="81">
        <v>9.6</v>
      </c>
    </row>
    <row r="245" spans="1:11" x14ac:dyDescent="0.25">
      <c r="A245" s="81">
        <v>1956</v>
      </c>
      <c r="B245" s="81">
        <v>591</v>
      </c>
      <c r="C245" s="81" t="s">
        <v>285</v>
      </c>
      <c r="D245" s="81">
        <v>620</v>
      </c>
      <c r="E245" s="81">
        <v>49.19</v>
      </c>
      <c r="F245" s="81">
        <v>42.85</v>
      </c>
      <c r="G245" s="81" t="s">
        <v>53</v>
      </c>
      <c r="H245" s="81">
        <v>1125</v>
      </c>
      <c r="I245" s="81">
        <v>1125</v>
      </c>
      <c r="J245" s="81">
        <v>12.8125</v>
      </c>
      <c r="K245" s="81">
        <v>9.73</v>
      </c>
    </row>
    <row r="246" spans="1:11" x14ac:dyDescent="0.25">
      <c r="A246" s="81">
        <v>1956</v>
      </c>
      <c r="B246" s="81">
        <v>592</v>
      </c>
      <c r="C246" s="81" t="s">
        <v>285</v>
      </c>
      <c r="D246" s="81">
        <v>520</v>
      </c>
      <c r="E246" s="81">
        <v>25.41</v>
      </c>
      <c r="F246" s="81">
        <v>22.86</v>
      </c>
      <c r="G246" s="81" t="s">
        <v>50</v>
      </c>
      <c r="H246" s="81">
        <v>1325</v>
      </c>
      <c r="I246" s="81">
        <v>1325</v>
      </c>
      <c r="J246" s="81">
        <v>9.6875</v>
      </c>
      <c r="K246" s="81">
        <v>10.94</v>
      </c>
    </row>
    <row r="247" spans="1:11" x14ac:dyDescent="0.25">
      <c r="A247" s="81">
        <v>1956</v>
      </c>
      <c r="B247" s="81">
        <v>593</v>
      </c>
      <c r="C247" s="81" t="s">
        <v>285</v>
      </c>
      <c r="D247" s="81">
        <v>720</v>
      </c>
      <c r="E247" s="81">
        <v>57.33</v>
      </c>
      <c r="F247" s="81">
        <v>51.1</v>
      </c>
      <c r="G247" s="81" t="s">
        <v>53</v>
      </c>
      <c r="H247" s="81">
        <v>1125</v>
      </c>
      <c r="I247" s="81">
        <v>1125</v>
      </c>
      <c r="J247" s="81">
        <v>12.875</v>
      </c>
      <c r="K247" s="81">
        <v>9.27</v>
      </c>
    </row>
    <row r="248" spans="1:11" x14ac:dyDescent="0.25">
      <c r="A248" s="81">
        <v>1956</v>
      </c>
      <c r="B248" s="81">
        <v>594</v>
      </c>
      <c r="C248" s="81" t="s">
        <v>285</v>
      </c>
      <c r="D248" s="81">
        <v>720</v>
      </c>
      <c r="E248" s="81">
        <v>56.66</v>
      </c>
      <c r="F248" s="81">
        <v>50.16</v>
      </c>
      <c r="G248" s="81" t="s">
        <v>48</v>
      </c>
      <c r="H248" s="81">
        <v>1125</v>
      </c>
      <c r="I248" s="81">
        <v>1125</v>
      </c>
      <c r="J248" s="81">
        <v>12.875</v>
      </c>
      <c r="K248" s="81">
        <v>17.97</v>
      </c>
    </row>
    <row r="249" spans="1:11" x14ac:dyDescent="0.25">
      <c r="A249" s="81">
        <v>1956</v>
      </c>
      <c r="B249" s="81">
        <v>597</v>
      </c>
      <c r="C249" s="81" t="s">
        <v>285</v>
      </c>
      <c r="D249" s="81">
        <v>520</v>
      </c>
      <c r="E249" s="81">
        <v>37.520000000000003</v>
      </c>
      <c r="F249" s="81">
        <v>32.85</v>
      </c>
      <c r="G249" s="81" t="s">
        <v>25</v>
      </c>
      <c r="H249" s="81">
        <v>1325</v>
      </c>
      <c r="I249" s="81">
        <v>1325</v>
      </c>
      <c r="J249" s="81">
        <v>9.6875</v>
      </c>
      <c r="K249" s="81">
        <v>12.74</v>
      </c>
    </row>
    <row r="250" spans="1:11" x14ac:dyDescent="0.25">
      <c r="A250" s="81">
        <v>1956</v>
      </c>
      <c r="B250" s="81">
        <v>598</v>
      </c>
      <c r="C250" s="81" t="s">
        <v>285</v>
      </c>
      <c r="D250" s="81">
        <v>620</v>
      </c>
      <c r="E250" s="81">
        <v>46.75</v>
      </c>
      <c r="F250" s="81">
        <v>41.45</v>
      </c>
      <c r="G250" s="81" t="s">
        <v>25</v>
      </c>
      <c r="H250" s="81">
        <v>1125</v>
      </c>
      <c r="I250" s="81">
        <v>1125</v>
      </c>
      <c r="J250" s="81">
        <v>12.8125</v>
      </c>
      <c r="K250" s="81">
        <v>11.07</v>
      </c>
    </row>
    <row r="251" spans="1:11" x14ac:dyDescent="0.25">
      <c r="A251" s="81">
        <v>1956</v>
      </c>
      <c r="B251" s="81">
        <v>599</v>
      </c>
      <c r="C251" s="81" t="s">
        <v>285</v>
      </c>
      <c r="D251" s="81">
        <v>420</v>
      </c>
      <c r="E251" s="81">
        <v>28.31</v>
      </c>
      <c r="F251" s="81">
        <v>24.9</v>
      </c>
      <c r="G251" s="81" t="s">
        <v>25</v>
      </c>
      <c r="H251" s="81">
        <v>1850</v>
      </c>
      <c r="I251" s="81">
        <v>1850</v>
      </c>
      <c r="J251" s="81">
        <v>9.0625</v>
      </c>
      <c r="K251" s="81">
        <v>11.72</v>
      </c>
    </row>
    <row r="252" spans="1:11" x14ac:dyDescent="0.25">
      <c r="A252" s="81">
        <v>1956</v>
      </c>
      <c r="B252" s="81">
        <v>604</v>
      </c>
      <c r="C252" s="81" t="s">
        <v>285</v>
      </c>
      <c r="D252" s="81">
        <v>620</v>
      </c>
      <c r="E252" s="81">
        <v>34.57</v>
      </c>
      <c r="F252" s="81">
        <v>30.59</v>
      </c>
      <c r="G252" s="81" t="s">
        <v>50</v>
      </c>
      <c r="H252" s="81">
        <v>1125</v>
      </c>
      <c r="I252" s="81">
        <v>1125</v>
      </c>
      <c r="J252" s="81">
        <v>12.8125</v>
      </c>
      <c r="K252" s="81">
        <v>11.25</v>
      </c>
    </row>
    <row r="253" spans="1:11" x14ac:dyDescent="0.25">
      <c r="A253" s="81">
        <v>1956</v>
      </c>
      <c r="B253" s="81">
        <v>605</v>
      </c>
      <c r="C253" s="81" t="s">
        <v>285</v>
      </c>
      <c r="D253" s="81">
        <v>720</v>
      </c>
      <c r="E253" s="81">
        <v>57.77</v>
      </c>
      <c r="F253" s="81">
        <v>50.33</v>
      </c>
      <c r="G253" s="81" t="s">
        <v>25</v>
      </c>
      <c r="H253" s="81">
        <v>1125</v>
      </c>
      <c r="I253" s="81">
        <v>1125</v>
      </c>
      <c r="J253" s="81">
        <v>12.875</v>
      </c>
      <c r="K253" s="81">
        <v>12.21</v>
      </c>
    </row>
    <row r="254" spans="1:11" x14ac:dyDescent="0.25">
      <c r="A254" s="81">
        <v>1956</v>
      </c>
      <c r="B254" s="81">
        <v>606</v>
      </c>
      <c r="C254" s="81" t="s">
        <v>285</v>
      </c>
      <c r="D254" s="81">
        <v>720</v>
      </c>
      <c r="E254" s="81">
        <v>44.13</v>
      </c>
      <c r="F254" s="81">
        <v>38.840000000000003</v>
      </c>
      <c r="G254" s="81" t="s">
        <v>50</v>
      </c>
      <c r="H254" s="81">
        <v>1125</v>
      </c>
      <c r="I254" s="81">
        <v>1125</v>
      </c>
      <c r="J254" s="81">
        <v>12.875</v>
      </c>
      <c r="K254" s="81">
        <v>10.89</v>
      </c>
    </row>
    <row r="255" spans="1:11" x14ac:dyDescent="0.25">
      <c r="A255" s="81">
        <v>1957</v>
      </c>
      <c r="B255" s="81">
        <v>608</v>
      </c>
      <c r="C255" s="81" t="s">
        <v>156</v>
      </c>
      <c r="D255" s="81" t="s">
        <v>195</v>
      </c>
      <c r="E255" s="81">
        <v>48</v>
      </c>
      <c r="G255" s="81" t="s">
        <v>48</v>
      </c>
      <c r="H255" s="81">
        <v>1450</v>
      </c>
      <c r="I255" s="81">
        <v>900</v>
      </c>
      <c r="J255" s="81">
        <v>11</v>
      </c>
      <c r="K255" s="81">
        <v>14.1</v>
      </c>
    </row>
    <row r="256" spans="1:11" x14ac:dyDescent="0.25">
      <c r="A256" s="81">
        <v>1957</v>
      </c>
      <c r="B256" s="81">
        <v>609</v>
      </c>
      <c r="C256" s="81" t="s">
        <v>156</v>
      </c>
      <c r="D256" s="81" t="s">
        <v>196</v>
      </c>
      <c r="E256" s="81">
        <v>38</v>
      </c>
      <c r="G256" s="81" t="s">
        <v>48</v>
      </c>
      <c r="H256" s="81">
        <v>1750</v>
      </c>
      <c r="I256" s="81">
        <v>1080</v>
      </c>
      <c r="J256" s="81">
        <v>9.75</v>
      </c>
      <c r="K256" s="81">
        <v>14.48</v>
      </c>
    </row>
    <row r="257" spans="1:11" x14ac:dyDescent="0.25">
      <c r="A257" s="81">
        <v>1957</v>
      </c>
      <c r="B257" s="81">
        <v>610</v>
      </c>
      <c r="C257" s="81" t="s">
        <v>156</v>
      </c>
      <c r="D257" s="81" t="s">
        <v>197</v>
      </c>
      <c r="E257" s="81">
        <v>42</v>
      </c>
      <c r="G257" s="81" t="s">
        <v>48</v>
      </c>
      <c r="H257" s="81">
        <v>2000</v>
      </c>
      <c r="I257" s="81">
        <v>1080</v>
      </c>
      <c r="J257" s="81">
        <v>11</v>
      </c>
      <c r="K257" s="81">
        <v>13.7</v>
      </c>
    </row>
    <row r="258" spans="1:11" x14ac:dyDescent="0.25">
      <c r="A258" s="81">
        <v>1957</v>
      </c>
      <c r="B258" s="81">
        <v>611</v>
      </c>
      <c r="C258" s="81" t="s">
        <v>156</v>
      </c>
      <c r="D258" s="81" t="s">
        <v>196</v>
      </c>
      <c r="E258" s="81">
        <v>40</v>
      </c>
      <c r="G258" s="81" t="s">
        <v>25</v>
      </c>
      <c r="H258" s="81">
        <v>1750</v>
      </c>
      <c r="I258" s="81">
        <v>1080</v>
      </c>
      <c r="J258" s="81">
        <v>9.75</v>
      </c>
      <c r="K258" s="81">
        <v>12.17</v>
      </c>
    </row>
    <row r="259" spans="1:11" x14ac:dyDescent="0.25">
      <c r="A259" s="81">
        <v>1957</v>
      </c>
      <c r="B259" s="81">
        <v>612</v>
      </c>
      <c r="C259" s="81" t="s">
        <v>156</v>
      </c>
      <c r="D259" s="81" t="s">
        <v>195</v>
      </c>
      <c r="E259" s="81">
        <v>55</v>
      </c>
      <c r="G259" s="81" t="s">
        <v>25</v>
      </c>
      <c r="H259" s="81">
        <v>1450</v>
      </c>
      <c r="I259" s="81">
        <v>900</v>
      </c>
      <c r="J259" s="81">
        <v>11</v>
      </c>
      <c r="K259" s="81">
        <v>12.47</v>
      </c>
    </row>
    <row r="260" spans="1:11" x14ac:dyDescent="0.25">
      <c r="A260" s="81">
        <v>1957</v>
      </c>
      <c r="B260" s="81">
        <v>613</v>
      </c>
      <c r="C260" s="81" t="s">
        <v>366</v>
      </c>
      <c r="D260" s="81" t="s">
        <v>241</v>
      </c>
      <c r="G260" s="81" t="s">
        <v>25</v>
      </c>
    </row>
    <row r="261" spans="1:11" x14ac:dyDescent="0.25">
      <c r="A261" s="81">
        <v>1957</v>
      </c>
      <c r="B261" s="81">
        <v>614</v>
      </c>
      <c r="C261" s="81" t="s">
        <v>366</v>
      </c>
      <c r="D261" s="81" t="s">
        <v>242</v>
      </c>
      <c r="G261" s="81" t="s">
        <v>48</v>
      </c>
    </row>
    <row r="262" spans="1:11" x14ac:dyDescent="0.25">
      <c r="A262" s="81">
        <v>1957</v>
      </c>
      <c r="B262" s="81">
        <v>614</v>
      </c>
      <c r="C262" s="81" t="s">
        <v>366</v>
      </c>
      <c r="D262" s="81" t="s">
        <v>243</v>
      </c>
      <c r="G262" s="81" t="s">
        <v>25</v>
      </c>
    </row>
    <row r="263" spans="1:11" x14ac:dyDescent="0.25">
      <c r="A263" s="81">
        <v>1957</v>
      </c>
      <c r="B263" s="81">
        <v>615</v>
      </c>
      <c r="C263" s="81" t="s">
        <v>156</v>
      </c>
      <c r="D263" s="81" t="s">
        <v>197</v>
      </c>
      <c r="E263" s="81">
        <v>43</v>
      </c>
      <c r="G263" s="81" t="s">
        <v>25</v>
      </c>
      <c r="H263" s="81">
        <v>2000</v>
      </c>
      <c r="I263" s="81">
        <v>1080</v>
      </c>
      <c r="J263" s="81">
        <v>11</v>
      </c>
      <c r="K263" s="81">
        <v>11.63</v>
      </c>
    </row>
    <row r="264" spans="1:11" x14ac:dyDescent="0.25">
      <c r="A264" s="81">
        <v>1957</v>
      </c>
      <c r="B264" s="81">
        <v>616</v>
      </c>
      <c r="C264" s="81" t="s">
        <v>156</v>
      </c>
      <c r="D264" s="81" t="s">
        <v>198</v>
      </c>
      <c r="E264" s="81">
        <v>28</v>
      </c>
      <c r="G264" s="81" t="s">
        <v>25</v>
      </c>
      <c r="H264" s="81">
        <v>1800</v>
      </c>
      <c r="I264" s="81">
        <v>1485</v>
      </c>
      <c r="J264" s="81">
        <v>8</v>
      </c>
      <c r="K264" s="81">
        <v>12.16</v>
      </c>
    </row>
    <row r="265" spans="1:11" x14ac:dyDescent="0.25">
      <c r="A265" s="81">
        <v>1957</v>
      </c>
      <c r="B265" s="81">
        <v>617</v>
      </c>
      <c r="C265" s="81" t="s">
        <v>156</v>
      </c>
      <c r="D265" s="81" t="s">
        <v>199</v>
      </c>
      <c r="E265" s="81">
        <v>22</v>
      </c>
      <c r="G265" s="81" t="s">
        <v>25</v>
      </c>
      <c r="H265" s="81">
        <v>1400</v>
      </c>
      <c r="I265" s="81">
        <v>1160</v>
      </c>
      <c r="J265" s="81">
        <v>8.5</v>
      </c>
      <c r="K265" s="81">
        <v>12.42</v>
      </c>
    </row>
    <row r="266" spans="1:11" x14ac:dyDescent="0.25">
      <c r="A266" s="81">
        <v>1957</v>
      </c>
      <c r="B266" s="81">
        <v>618</v>
      </c>
      <c r="C266" s="81" t="s">
        <v>156</v>
      </c>
      <c r="D266" s="81" t="s">
        <v>185</v>
      </c>
      <c r="E266" s="81">
        <v>62</v>
      </c>
      <c r="G266" s="81" t="s">
        <v>25</v>
      </c>
      <c r="H266" s="81">
        <v>1500</v>
      </c>
      <c r="I266" s="81">
        <v>710</v>
      </c>
      <c r="J266" s="81">
        <v>14</v>
      </c>
      <c r="K266" s="81">
        <v>11.56</v>
      </c>
    </row>
    <row r="267" spans="1:11" x14ac:dyDescent="0.25">
      <c r="A267" s="81">
        <v>1957</v>
      </c>
      <c r="B267" s="81">
        <v>619</v>
      </c>
      <c r="C267" s="81" t="s">
        <v>156</v>
      </c>
      <c r="D267" s="81" t="s">
        <v>197</v>
      </c>
      <c r="E267" s="81">
        <v>45</v>
      </c>
      <c r="G267" s="81" t="s">
        <v>53</v>
      </c>
      <c r="H267" s="81">
        <v>2000</v>
      </c>
      <c r="I267" s="81">
        <v>1080</v>
      </c>
      <c r="J267" s="81">
        <v>11</v>
      </c>
      <c r="K267" s="81">
        <v>9.5399999999999991</v>
      </c>
    </row>
    <row r="268" spans="1:11" x14ac:dyDescent="0.25">
      <c r="A268" s="81">
        <v>1957</v>
      </c>
      <c r="B268" s="81">
        <v>620</v>
      </c>
      <c r="C268" s="81" t="s">
        <v>156</v>
      </c>
      <c r="D268" s="81" t="s">
        <v>195</v>
      </c>
      <c r="E268" s="81">
        <v>54</v>
      </c>
      <c r="G268" s="81" t="s">
        <v>53</v>
      </c>
      <c r="H268" s="81">
        <v>1450</v>
      </c>
      <c r="I268" s="81">
        <v>900</v>
      </c>
      <c r="J268" s="81">
        <v>11</v>
      </c>
      <c r="K268" s="81">
        <v>9.84</v>
      </c>
    </row>
    <row r="269" spans="1:11" x14ac:dyDescent="0.25">
      <c r="A269" s="81">
        <v>1957</v>
      </c>
      <c r="B269" s="81">
        <v>621</v>
      </c>
      <c r="C269" s="81" t="s">
        <v>156</v>
      </c>
      <c r="D269" s="81" t="s">
        <v>185</v>
      </c>
      <c r="E269" s="81">
        <v>63</v>
      </c>
      <c r="G269" s="81" t="s">
        <v>53</v>
      </c>
      <c r="H269" s="81">
        <v>1500</v>
      </c>
      <c r="I269" s="81">
        <v>710</v>
      </c>
      <c r="J269" s="81">
        <v>14</v>
      </c>
      <c r="K269" s="81">
        <v>8.94</v>
      </c>
    </row>
    <row r="270" spans="1:11" x14ac:dyDescent="0.25">
      <c r="A270" s="81">
        <v>1957</v>
      </c>
      <c r="B270" s="81">
        <v>622</v>
      </c>
      <c r="C270" s="81" t="s">
        <v>156</v>
      </c>
      <c r="D270" s="81" t="s">
        <v>196</v>
      </c>
      <c r="E270" s="81">
        <v>41</v>
      </c>
      <c r="G270" s="81" t="s">
        <v>53</v>
      </c>
      <c r="H270" s="81">
        <v>1750</v>
      </c>
      <c r="I270" s="81">
        <v>1080</v>
      </c>
      <c r="J270" s="81">
        <v>9.75</v>
      </c>
      <c r="K270" s="81">
        <v>9.6</v>
      </c>
    </row>
    <row r="271" spans="1:11" x14ac:dyDescent="0.25">
      <c r="A271" s="81">
        <v>1957</v>
      </c>
      <c r="B271" s="81">
        <v>624</v>
      </c>
      <c r="C271" s="81" t="s">
        <v>1649</v>
      </c>
      <c r="D271" s="81" t="s">
        <v>98</v>
      </c>
      <c r="E271" s="81">
        <v>33.5</v>
      </c>
      <c r="F271" s="81">
        <v>29.87</v>
      </c>
      <c r="G271" s="81" t="s">
        <v>25</v>
      </c>
      <c r="H271" s="81">
        <v>1600</v>
      </c>
      <c r="I271" s="81">
        <v>1515</v>
      </c>
      <c r="J271" s="81">
        <v>8.375</v>
      </c>
      <c r="K271" s="81">
        <v>10.89</v>
      </c>
    </row>
    <row r="272" spans="1:11" x14ac:dyDescent="0.25">
      <c r="A272" s="81">
        <v>1957</v>
      </c>
      <c r="B272" s="81">
        <v>632</v>
      </c>
      <c r="C272" s="81" t="s">
        <v>285</v>
      </c>
      <c r="D272" s="81">
        <v>820</v>
      </c>
      <c r="E272" s="81">
        <v>72.819999999999993</v>
      </c>
      <c r="F272" s="81">
        <v>64.260000000000005</v>
      </c>
      <c r="G272" s="81" t="s">
        <v>48</v>
      </c>
      <c r="H272" s="81">
        <v>1125</v>
      </c>
      <c r="I272" s="81">
        <v>1125</v>
      </c>
      <c r="J272" s="81">
        <v>12.21875</v>
      </c>
      <c r="K272" s="81">
        <v>18.03</v>
      </c>
    </row>
    <row r="273" spans="1:11" x14ac:dyDescent="0.25">
      <c r="A273" s="81">
        <v>1957</v>
      </c>
      <c r="B273" s="81">
        <v>633</v>
      </c>
      <c r="C273" s="81" t="s">
        <v>1388</v>
      </c>
      <c r="D273" s="81" t="s">
        <v>144</v>
      </c>
      <c r="E273" s="81">
        <v>101.97</v>
      </c>
      <c r="F273" s="81">
        <v>89.02</v>
      </c>
      <c r="G273" s="81" t="s">
        <v>48</v>
      </c>
      <c r="H273" s="81">
        <v>1500</v>
      </c>
      <c r="I273" s="81">
        <v>975</v>
      </c>
      <c r="J273" s="81">
        <v>13</v>
      </c>
      <c r="K273" s="81">
        <v>14.53</v>
      </c>
    </row>
    <row r="274" spans="1:11" x14ac:dyDescent="0.25">
      <c r="A274" s="81">
        <v>1957</v>
      </c>
      <c r="B274" s="81">
        <v>634</v>
      </c>
      <c r="C274" s="81" t="s">
        <v>156</v>
      </c>
      <c r="D274" s="81" t="s">
        <v>200</v>
      </c>
      <c r="E274" s="81">
        <v>34</v>
      </c>
      <c r="G274" s="81" t="s">
        <v>25</v>
      </c>
      <c r="H274" s="81">
        <v>2000</v>
      </c>
      <c r="I274" s="81">
        <v>1080</v>
      </c>
      <c r="J274" s="81">
        <v>11</v>
      </c>
      <c r="K274" s="81">
        <v>12.18</v>
      </c>
    </row>
    <row r="275" spans="1:11" x14ac:dyDescent="0.25">
      <c r="A275" s="81">
        <v>1958</v>
      </c>
      <c r="B275" s="81">
        <v>646</v>
      </c>
      <c r="C275" s="81" t="s">
        <v>366</v>
      </c>
      <c r="D275" s="81" t="s">
        <v>244</v>
      </c>
      <c r="G275" s="81" t="s">
        <v>25</v>
      </c>
    </row>
    <row r="276" spans="1:11" x14ac:dyDescent="0.25">
      <c r="A276" s="81">
        <v>1958</v>
      </c>
      <c r="B276" s="81">
        <v>647</v>
      </c>
      <c r="C276" s="81" t="s">
        <v>1388</v>
      </c>
      <c r="D276" s="81" t="s">
        <v>145</v>
      </c>
      <c r="E276" s="81">
        <v>61.86</v>
      </c>
      <c r="F276" s="81">
        <v>54.68</v>
      </c>
      <c r="G276" s="81" t="s">
        <v>25</v>
      </c>
      <c r="H276" s="81">
        <v>1750</v>
      </c>
      <c r="I276" s="81">
        <v>1085</v>
      </c>
      <c r="J276" s="81">
        <v>10.875</v>
      </c>
      <c r="K276" s="81">
        <v>12.04</v>
      </c>
    </row>
    <row r="277" spans="1:11" x14ac:dyDescent="0.25">
      <c r="A277" s="81">
        <v>1958</v>
      </c>
      <c r="B277" s="81">
        <v>648</v>
      </c>
      <c r="C277" s="81" t="s">
        <v>1388</v>
      </c>
      <c r="D277" s="81" t="s">
        <v>146</v>
      </c>
      <c r="E277" s="81">
        <v>50.04</v>
      </c>
      <c r="F277" s="81">
        <v>43.89</v>
      </c>
      <c r="G277" s="81" t="s">
        <v>25</v>
      </c>
      <c r="H277" s="81">
        <v>1800</v>
      </c>
      <c r="I277" s="81">
        <v>1085</v>
      </c>
      <c r="J277" s="81">
        <v>10.875</v>
      </c>
      <c r="K277" s="81">
        <v>11.64</v>
      </c>
    </row>
    <row r="278" spans="1:11" x14ac:dyDescent="0.25">
      <c r="A278" s="81">
        <v>1958</v>
      </c>
      <c r="B278" s="81">
        <v>649</v>
      </c>
      <c r="C278" s="81" t="s">
        <v>1388</v>
      </c>
      <c r="D278" s="81" t="s">
        <v>146</v>
      </c>
      <c r="E278" s="81">
        <v>48.8</v>
      </c>
      <c r="F278" s="81">
        <v>43</v>
      </c>
      <c r="G278" s="81" t="s">
        <v>48</v>
      </c>
      <c r="H278" s="81">
        <v>1750</v>
      </c>
      <c r="I278" s="81">
        <v>1085</v>
      </c>
      <c r="J278" s="81">
        <v>10.875</v>
      </c>
      <c r="K278" s="81">
        <v>14.12</v>
      </c>
    </row>
    <row r="279" spans="1:11" x14ac:dyDescent="0.25">
      <c r="A279" s="81">
        <v>1958</v>
      </c>
      <c r="B279" s="81">
        <v>650</v>
      </c>
      <c r="C279" s="81" t="s">
        <v>1388</v>
      </c>
      <c r="D279" s="81" t="s">
        <v>145</v>
      </c>
      <c r="E279" s="81">
        <v>59.48</v>
      </c>
      <c r="F279" s="81">
        <v>52.63</v>
      </c>
      <c r="G279" s="81" t="s">
        <v>48</v>
      </c>
      <c r="H279" s="81">
        <v>1750</v>
      </c>
      <c r="I279" s="81">
        <v>1085</v>
      </c>
      <c r="J279" s="81">
        <v>10.875</v>
      </c>
      <c r="K279" s="81">
        <v>14.37</v>
      </c>
    </row>
    <row r="280" spans="1:11" x14ac:dyDescent="0.25">
      <c r="A280" s="81">
        <v>1958</v>
      </c>
      <c r="B280" s="81">
        <v>651</v>
      </c>
      <c r="C280" s="81" t="s">
        <v>1649</v>
      </c>
      <c r="D280" s="81" t="s">
        <v>99</v>
      </c>
      <c r="E280" s="81">
        <v>54.96</v>
      </c>
      <c r="F280" s="81">
        <v>48.58</v>
      </c>
      <c r="G280" s="81" t="s">
        <v>53</v>
      </c>
      <c r="H280" s="81">
        <v>1500</v>
      </c>
      <c r="I280" s="81">
        <v>1090</v>
      </c>
      <c r="J280" s="81">
        <v>12</v>
      </c>
      <c r="K280" s="81">
        <v>9.2899999999999991</v>
      </c>
    </row>
    <row r="281" spans="1:11" x14ac:dyDescent="0.25">
      <c r="A281" s="81">
        <v>1958</v>
      </c>
      <c r="B281" s="81">
        <v>652</v>
      </c>
      <c r="C281" s="81" t="s">
        <v>1649</v>
      </c>
      <c r="D281" s="81" t="s">
        <v>99</v>
      </c>
      <c r="E281" s="81">
        <v>54.68</v>
      </c>
      <c r="F281" s="81">
        <v>48.69</v>
      </c>
      <c r="G281" s="81" t="s">
        <v>48</v>
      </c>
      <c r="H281" s="81">
        <v>1450</v>
      </c>
      <c r="I281" s="81">
        <v>1054</v>
      </c>
      <c r="J281" s="81">
        <v>12</v>
      </c>
      <c r="K281" s="81">
        <v>14.54</v>
      </c>
    </row>
    <row r="282" spans="1:11" x14ac:dyDescent="0.25">
      <c r="A282" s="81">
        <v>1958</v>
      </c>
      <c r="B282" s="81">
        <v>655</v>
      </c>
      <c r="C282" s="81" t="s">
        <v>1388</v>
      </c>
      <c r="D282" s="81" t="s">
        <v>147</v>
      </c>
      <c r="E282" s="81">
        <v>26.08</v>
      </c>
      <c r="F282" s="81">
        <v>23.26</v>
      </c>
      <c r="G282" s="81" t="s">
        <v>48</v>
      </c>
      <c r="H282" s="81">
        <v>1700</v>
      </c>
      <c r="I282" s="81">
        <v>1100</v>
      </c>
      <c r="J282" s="81">
        <v>8.5</v>
      </c>
      <c r="K282" s="81">
        <v>12.68</v>
      </c>
    </row>
    <row r="283" spans="1:11" x14ac:dyDescent="0.25">
      <c r="A283" s="81">
        <v>1958</v>
      </c>
      <c r="B283" s="81">
        <v>656</v>
      </c>
      <c r="C283" s="81" t="s">
        <v>1388</v>
      </c>
      <c r="D283" s="81" t="s">
        <v>147</v>
      </c>
      <c r="E283" s="81">
        <v>25.34</v>
      </c>
      <c r="F283" s="81">
        <v>22.52</v>
      </c>
      <c r="G283" s="81" t="s">
        <v>25</v>
      </c>
      <c r="H283" s="81">
        <v>1700</v>
      </c>
      <c r="I283" s="81">
        <v>1100</v>
      </c>
      <c r="J283" s="81">
        <v>8.5</v>
      </c>
      <c r="K283" s="81">
        <v>10.039999999999999</v>
      </c>
    </row>
    <row r="284" spans="1:11" x14ac:dyDescent="0.25">
      <c r="A284" s="81">
        <v>1958</v>
      </c>
      <c r="B284" s="81">
        <v>660</v>
      </c>
      <c r="C284" s="81" t="s">
        <v>1388</v>
      </c>
      <c r="D284" s="81" t="s">
        <v>148</v>
      </c>
      <c r="E284" s="81">
        <v>67.23</v>
      </c>
      <c r="F284" s="81">
        <v>59.75</v>
      </c>
      <c r="G284" s="81" t="s">
        <v>48</v>
      </c>
      <c r="H284" s="81">
        <v>1800</v>
      </c>
      <c r="I284" s="81">
        <v>1020</v>
      </c>
      <c r="J284" s="81">
        <v>12.25</v>
      </c>
      <c r="K284" s="81">
        <v>13.45</v>
      </c>
    </row>
    <row r="285" spans="1:11" x14ac:dyDescent="0.25">
      <c r="A285" s="81">
        <v>1958</v>
      </c>
      <c r="B285" s="81">
        <v>661</v>
      </c>
      <c r="C285" s="81" t="s">
        <v>1388</v>
      </c>
      <c r="D285" s="81" t="s">
        <v>149</v>
      </c>
      <c r="E285" s="81">
        <v>84.1</v>
      </c>
      <c r="F285" s="81">
        <v>75.459999999999994</v>
      </c>
      <c r="G285" s="81" t="s">
        <v>48</v>
      </c>
      <c r="H285" s="81">
        <v>1800</v>
      </c>
      <c r="I285" s="81">
        <v>1020</v>
      </c>
      <c r="J285" s="81">
        <v>12.25</v>
      </c>
      <c r="K285" s="81">
        <v>13.61</v>
      </c>
    </row>
    <row r="286" spans="1:11" x14ac:dyDescent="0.25">
      <c r="A286" s="81">
        <v>1958</v>
      </c>
      <c r="B286" s="81">
        <v>662</v>
      </c>
      <c r="C286" s="81" t="s">
        <v>1388</v>
      </c>
      <c r="D286" s="81" t="s">
        <v>150</v>
      </c>
      <c r="E286" s="81">
        <v>85.37</v>
      </c>
      <c r="F286" s="81">
        <v>76.13</v>
      </c>
      <c r="G286" s="81" t="s">
        <v>48</v>
      </c>
      <c r="H286" s="81">
        <v>2000</v>
      </c>
      <c r="I286" s="81">
        <v>1135</v>
      </c>
      <c r="J286" s="81">
        <v>12.25</v>
      </c>
      <c r="K286" s="81">
        <v>12.35</v>
      </c>
    </row>
    <row r="287" spans="1:11" x14ac:dyDescent="0.25">
      <c r="A287" s="81">
        <v>1958</v>
      </c>
      <c r="B287" s="81">
        <v>665</v>
      </c>
      <c r="C287" s="81" t="s">
        <v>156</v>
      </c>
      <c r="D287" s="81" t="s">
        <v>201</v>
      </c>
      <c r="E287" s="81">
        <v>34</v>
      </c>
      <c r="G287" s="81" t="s">
        <v>25</v>
      </c>
      <c r="H287" s="81">
        <v>2000</v>
      </c>
      <c r="I287" s="81">
        <v>1080</v>
      </c>
      <c r="J287" s="81">
        <v>11</v>
      </c>
      <c r="K287" s="81">
        <v>12.45</v>
      </c>
    </row>
    <row r="288" spans="1:11" x14ac:dyDescent="0.25">
      <c r="A288" s="81">
        <v>1958</v>
      </c>
      <c r="B288" s="81">
        <v>666</v>
      </c>
      <c r="C288" s="81" t="s">
        <v>156</v>
      </c>
      <c r="D288" s="81" t="s">
        <v>202</v>
      </c>
      <c r="E288" s="81">
        <v>23</v>
      </c>
      <c r="G288" s="81" t="s">
        <v>25</v>
      </c>
      <c r="H288" s="81">
        <v>1400</v>
      </c>
      <c r="I288" s="81">
        <v>1160</v>
      </c>
      <c r="J288" s="81">
        <v>8.5</v>
      </c>
      <c r="K288" s="81">
        <v>12.29</v>
      </c>
    </row>
    <row r="289" spans="1:11" x14ac:dyDescent="0.25">
      <c r="A289" s="81">
        <v>1958</v>
      </c>
      <c r="B289" s="81">
        <v>667</v>
      </c>
      <c r="C289" s="81" t="s">
        <v>156</v>
      </c>
      <c r="D289" s="81" t="s">
        <v>203</v>
      </c>
      <c r="E289" s="81">
        <v>30</v>
      </c>
      <c r="G289" s="81" t="s">
        <v>25</v>
      </c>
      <c r="H289" s="81">
        <v>2000</v>
      </c>
      <c r="I289" s="81">
        <v>1650</v>
      </c>
      <c r="J289" s="81">
        <v>8</v>
      </c>
      <c r="K289" s="81">
        <v>12.01</v>
      </c>
    </row>
    <row r="290" spans="1:11" x14ac:dyDescent="0.25">
      <c r="A290" s="81">
        <v>1958</v>
      </c>
      <c r="B290" s="81">
        <v>668</v>
      </c>
      <c r="C290" s="81" t="s">
        <v>156</v>
      </c>
      <c r="D290" s="81" t="s">
        <v>204</v>
      </c>
      <c r="E290" s="81">
        <v>30</v>
      </c>
      <c r="G290" s="81" t="s">
        <v>25</v>
      </c>
      <c r="H290" s="81">
        <v>2000</v>
      </c>
      <c r="I290" s="81">
        <v>1650</v>
      </c>
      <c r="J290" s="81">
        <v>8</v>
      </c>
      <c r="K290" s="81">
        <v>12.2</v>
      </c>
    </row>
    <row r="291" spans="1:11" x14ac:dyDescent="0.25">
      <c r="A291" s="81">
        <v>1958</v>
      </c>
      <c r="B291" s="81">
        <v>669</v>
      </c>
      <c r="C291" s="81" t="s">
        <v>156</v>
      </c>
      <c r="D291" s="81" t="s">
        <v>205</v>
      </c>
      <c r="E291" s="81">
        <v>59.48</v>
      </c>
      <c r="F291" s="81">
        <v>53.21</v>
      </c>
      <c r="G291" s="81" t="s">
        <v>48</v>
      </c>
      <c r="H291" s="81">
        <v>1800</v>
      </c>
      <c r="I291" s="81">
        <v>1115</v>
      </c>
      <c r="J291" s="81">
        <v>11</v>
      </c>
      <c r="K291" s="81">
        <v>14.78</v>
      </c>
    </row>
    <row r="292" spans="1:11" x14ac:dyDescent="0.25">
      <c r="A292" s="81">
        <v>1958</v>
      </c>
      <c r="B292" s="81">
        <v>670</v>
      </c>
      <c r="C292" s="81" t="s">
        <v>156</v>
      </c>
      <c r="D292" s="81" t="s">
        <v>206</v>
      </c>
      <c r="E292" s="81">
        <v>49</v>
      </c>
      <c r="G292" s="81" t="s">
        <v>25</v>
      </c>
      <c r="H292" s="81">
        <v>1800</v>
      </c>
      <c r="I292" s="81">
        <v>1110</v>
      </c>
      <c r="J292" s="81">
        <v>11</v>
      </c>
      <c r="K292" s="81">
        <v>12.23</v>
      </c>
    </row>
    <row r="293" spans="1:11" x14ac:dyDescent="0.25">
      <c r="A293" s="81">
        <v>1958</v>
      </c>
      <c r="B293" s="81">
        <v>671</v>
      </c>
      <c r="C293" s="81" t="s">
        <v>156</v>
      </c>
      <c r="D293" s="81" t="s">
        <v>205</v>
      </c>
      <c r="E293" s="81">
        <v>63</v>
      </c>
      <c r="G293" s="81" t="s">
        <v>25</v>
      </c>
      <c r="H293" s="81">
        <v>1800</v>
      </c>
      <c r="I293" s="81">
        <v>1115</v>
      </c>
      <c r="J293" s="81">
        <v>11</v>
      </c>
      <c r="K293" s="81">
        <v>12.65</v>
      </c>
    </row>
    <row r="294" spans="1:11" x14ac:dyDescent="0.25">
      <c r="A294" s="81">
        <v>1958</v>
      </c>
      <c r="B294" s="81">
        <v>672</v>
      </c>
      <c r="C294" s="81" t="s">
        <v>156</v>
      </c>
      <c r="D294" s="81" t="s">
        <v>206</v>
      </c>
      <c r="E294" s="81">
        <v>50</v>
      </c>
      <c r="G294" s="81" t="s">
        <v>48</v>
      </c>
      <c r="H294" s="81">
        <v>1800</v>
      </c>
      <c r="I294" s="81">
        <v>1110</v>
      </c>
      <c r="J294" s="81">
        <v>11</v>
      </c>
      <c r="K294" s="81">
        <v>13.91</v>
      </c>
    </row>
    <row r="295" spans="1:11" x14ac:dyDescent="0.25">
      <c r="A295" s="81">
        <v>1958</v>
      </c>
      <c r="B295" s="81">
        <v>674</v>
      </c>
      <c r="C295" s="81" t="s">
        <v>156</v>
      </c>
      <c r="D295" s="81" t="s">
        <v>207</v>
      </c>
      <c r="E295" s="81">
        <v>49</v>
      </c>
      <c r="G295" s="81" t="s">
        <v>25</v>
      </c>
      <c r="H295" s="81">
        <v>1800</v>
      </c>
      <c r="I295" s="81">
        <v>1080</v>
      </c>
      <c r="J295" s="81">
        <v>11</v>
      </c>
      <c r="K295" s="81">
        <v>12.22</v>
      </c>
    </row>
    <row r="296" spans="1:11" x14ac:dyDescent="0.25">
      <c r="A296" s="81">
        <v>1958</v>
      </c>
      <c r="B296" s="81">
        <v>675</v>
      </c>
      <c r="C296" s="81" t="s">
        <v>156</v>
      </c>
      <c r="D296" s="81" t="s">
        <v>205</v>
      </c>
      <c r="E296" s="81">
        <v>60</v>
      </c>
      <c r="G296" s="81" t="s">
        <v>53</v>
      </c>
      <c r="H296" s="81">
        <v>1800</v>
      </c>
      <c r="I296" s="81">
        <v>1115</v>
      </c>
      <c r="J296" s="81">
        <v>11</v>
      </c>
      <c r="K296" s="81">
        <v>9.73</v>
      </c>
    </row>
    <row r="297" spans="1:11" x14ac:dyDescent="0.25">
      <c r="A297" s="81">
        <v>1958</v>
      </c>
      <c r="B297" s="81">
        <v>676</v>
      </c>
      <c r="C297" s="81" t="s">
        <v>156</v>
      </c>
      <c r="D297" s="81" t="s">
        <v>206</v>
      </c>
      <c r="E297" s="81">
        <v>49</v>
      </c>
      <c r="G297" s="81" t="s">
        <v>53</v>
      </c>
      <c r="H297" s="81">
        <v>1800</v>
      </c>
      <c r="I297" s="81">
        <v>1110</v>
      </c>
      <c r="J297" s="81">
        <v>11</v>
      </c>
      <c r="K297" s="81">
        <v>9.2899999999999991</v>
      </c>
    </row>
    <row r="298" spans="1:11" x14ac:dyDescent="0.25">
      <c r="A298" s="81">
        <v>1958</v>
      </c>
      <c r="B298" s="81">
        <v>678</v>
      </c>
      <c r="C298" s="81" t="s">
        <v>366</v>
      </c>
      <c r="D298" s="81" t="s">
        <v>245</v>
      </c>
      <c r="G298" s="81" t="s">
        <v>25</v>
      </c>
    </row>
    <row r="299" spans="1:11" x14ac:dyDescent="0.25">
      <c r="A299" s="81">
        <v>1958</v>
      </c>
      <c r="B299" s="81">
        <v>679</v>
      </c>
      <c r="C299" s="81" t="s">
        <v>366</v>
      </c>
      <c r="D299" s="81" t="s">
        <v>246</v>
      </c>
      <c r="G299" s="81" t="s">
        <v>25</v>
      </c>
    </row>
    <row r="300" spans="1:11" x14ac:dyDescent="0.25">
      <c r="A300" s="81">
        <v>1958</v>
      </c>
      <c r="B300" s="81">
        <v>680</v>
      </c>
      <c r="C300" s="81" t="s">
        <v>366</v>
      </c>
      <c r="D300" s="81" t="s">
        <v>247</v>
      </c>
      <c r="G300" s="81" t="s">
        <v>48</v>
      </c>
    </row>
    <row r="301" spans="1:11" x14ac:dyDescent="0.25">
      <c r="A301" s="81">
        <v>1959</v>
      </c>
      <c r="B301" s="81">
        <v>687</v>
      </c>
      <c r="C301" s="81" t="s">
        <v>366</v>
      </c>
      <c r="D301" s="81" t="s">
        <v>248</v>
      </c>
      <c r="G301" s="81" t="s">
        <v>25</v>
      </c>
    </row>
    <row r="302" spans="1:11" x14ac:dyDescent="0.25">
      <c r="A302" s="81">
        <v>1959</v>
      </c>
      <c r="B302" s="81">
        <v>688</v>
      </c>
      <c r="C302" s="81" t="s">
        <v>366</v>
      </c>
      <c r="D302" s="81" t="s">
        <v>249</v>
      </c>
      <c r="G302" s="81" t="s">
        <v>25</v>
      </c>
    </row>
    <row r="303" spans="1:11" x14ac:dyDescent="0.25">
      <c r="A303" s="81">
        <v>1959</v>
      </c>
      <c r="B303" s="81">
        <v>689</v>
      </c>
      <c r="C303" s="81" t="s">
        <v>366</v>
      </c>
      <c r="D303" s="81" t="s">
        <v>250</v>
      </c>
      <c r="G303" s="81" t="s">
        <v>25</v>
      </c>
    </row>
    <row r="304" spans="1:11" x14ac:dyDescent="0.25">
      <c r="A304" s="81">
        <v>1959</v>
      </c>
      <c r="B304" s="81">
        <v>692</v>
      </c>
      <c r="C304" s="81" t="s">
        <v>366</v>
      </c>
      <c r="D304" s="81" t="s">
        <v>251</v>
      </c>
      <c r="G304" s="81" t="s">
        <v>48</v>
      </c>
    </row>
    <row r="305" spans="1:11" x14ac:dyDescent="0.25">
      <c r="A305" s="81">
        <v>1959</v>
      </c>
      <c r="B305" s="81">
        <v>693</v>
      </c>
      <c r="C305" s="81" t="s">
        <v>366</v>
      </c>
      <c r="D305" s="81" t="s">
        <v>252</v>
      </c>
      <c r="G305" s="81" t="s">
        <v>48</v>
      </c>
    </row>
    <row r="306" spans="1:11" x14ac:dyDescent="0.25">
      <c r="A306" s="81">
        <v>1959</v>
      </c>
      <c r="B306" s="81">
        <v>694</v>
      </c>
      <c r="C306" s="81" t="s">
        <v>366</v>
      </c>
      <c r="D306" s="81" t="s">
        <v>245</v>
      </c>
      <c r="G306" s="81" t="s">
        <v>53</v>
      </c>
    </row>
    <row r="307" spans="1:11" x14ac:dyDescent="0.25">
      <c r="A307" s="81">
        <v>1959</v>
      </c>
      <c r="B307" s="81">
        <v>695</v>
      </c>
      <c r="C307" s="81" t="s">
        <v>366</v>
      </c>
      <c r="D307" s="81" t="s">
        <v>246</v>
      </c>
      <c r="G307" s="81" t="s">
        <v>53</v>
      </c>
    </row>
    <row r="308" spans="1:11" x14ac:dyDescent="0.25">
      <c r="A308" s="81">
        <v>1959</v>
      </c>
      <c r="B308" s="81">
        <v>696</v>
      </c>
      <c r="C308" s="81" t="s">
        <v>366</v>
      </c>
      <c r="D308" s="81" t="s">
        <v>253</v>
      </c>
      <c r="G308" s="81" t="s">
        <v>53</v>
      </c>
    </row>
    <row r="309" spans="1:11" x14ac:dyDescent="0.25">
      <c r="A309" s="81">
        <v>1959</v>
      </c>
      <c r="B309" s="81">
        <v>697</v>
      </c>
      <c r="C309" s="81" t="s">
        <v>1388</v>
      </c>
      <c r="D309" s="81" t="s">
        <v>151</v>
      </c>
      <c r="F309" s="81">
        <v>41.39</v>
      </c>
      <c r="G309" s="81" t="s">
        <v>25</v>
      </c>
      <c r="H309" s="81">
        <v>2000</v>
      </c>
      <c r="K309" s="81">
        <v>12.54</v>
      </c>
    </row>
    <row r="310" spans="1:11" x14ac:dyDescent="0.25">
      <c r="A310" s="81">
        <v>1959</v>
      </c>
      <c r="B310" s="81">
        <v>698</v>
      </c>
      <c r="C310" s="81" t="s">
        <v>1388</v>
      </c>
      <c r="D310" s="81" t="s">
        <v>151</v>
      </c>
      <c r="F310" s="81">
        <v>39.21</v>
      </c>
      <c r="G310" s="81" t="s">
        <v>48</v>
      </c>
      <c r="H310" s="81">
        <v>2000</v>
      </c>
      <c r="K310" s="81">
        <v>13.95</v>
      </c>
    </row>
    <row r="311" spans="1:11" x14ac:dyDescent="0.25">
      <c r="A311" s="81">
        <v>1959</v>
      </c>
      <c r="B311" s="81">
        <v>709</v>
      </c>
      <c r="C311" s="81" t="s">
        <v>366</v>
      </c>
      <c r="D311" s="81" t="s">
        <v>254</v>
      </c>
      <c r="G311" s="81" t="s">
        <v>25</v>
      </c>
    </row>
    <row r="312" spans="1:11" x14ac:dyDescent="0.25">
      <c r="A312" s="81">
        <v>1959</v>
      </c>
      <c r="B312" s="81">
        <v>712</v>
      </c>
      <c r="C312" s="81" t="s">
        <v>366</v>
      </c>
      <c r="D312" s="81" t="s">
        <v>255</v>
      </c>
      <c r="G312" s="81" t="s">
        <v>48</v>
      </c>
    </row>
    <row r="313" spans="1:11" x14ac:dyDescent="0.25">
      <c r="A313" s="81">
        <v>1959</v>
      </c>
      <c r="B313" s="81">
        <v>713</v>
      </c>
      <c r="C313" s="81" t="s">
        <v>366</v>
      </c>
      <c r="D313" s="81" t="s">
        <v>256</v>
      </c>
      <c r="G313" s="81" t="s">
        <v>48</v>
      </c>
    </row>
    <row r="314" spans="1:11" x14ac:dyDescent="0.25">
      <c r="A314" s="81">
        <v>1959</v>
      </c>
      <c r="B314" s="81">
        <v>714</v>
      </c>
      <c r="C314" s="81" t="s">
        <v>366</v>
      </c>
      <c r="D314" s="81" t="s">
        <v>257</v>
      </c>
      <c r="G314" s="81" t="s">
        <v>48</v>
      </c>
    </row>
    <row r="315" spans="1:11" x14ac:dyDescent="0.25">
      <c r="A315" s="81">
        <v>1959</v>
      </c>
      <c r="B315" s="81">
        <v>715</v>
      </c>
      <c r="C315" s="81" t="s">
        <v>156</v>
      </c>
      <c r="D315" s="81" t="s">
        <v>208</v>
      </c>
      <c r="E315" s="81">
        <v>78</v>
      </c>
      <c r="G315" s="81" t="s">
        <v>48</v>
      </c>
      <c r="H315" s="81">
        <v>2400</v>
      </c>
      <c r="I315" s="81">
        <v>1050</v>
      </c>
      <c r="J315" s="81">
        <v>11</v>
      </c>
      <c r="K315" s="81">
        <v>14.23</v>
      </c>
    </row>
    <row r="316" spans="1:11" x14ac:dyDescent="0.25">
      <c r="A316" s="81">
        <v>1959</v>
      </c>
      <c r="B316" s="81">
        <v>716</v>
      </c>
      <c r="C316" s="81" t="s">
        <v>285</v>
      </c>
      <c r="D316" s="81">
        <v>435</v>
      </c>
      <c r="E316" s="81">
        <v>32.909999999999997</v>
      </c>
      <c r="F316" s="81">
        <v>32.130000000000003</v>
      </c>
      <c r="G316" s="81" t="s">
        <v>48</v>
      </c>
      <c r="H316" s="81">
        <v>1850</v>
      </c>
      <c r="I316" s="81">
        <v>1270</v>
      </c>
      <c r="J316" s="81">
        <v>9.0625</v>
      </c>
      <c r="K316" s="81">
        <v>14.49</v>
      </c>
    </row>
    <row r="317" spans="1:11" x14ac:dyDescent="0.25">
      <c r="A317" s="81">
        <v>1959</v>
      </c>
      <c r="B317" s="81">
        <v>721</v>
      </c>
      <c r="C317" s="81" t="s">
        <v>156</v>
      </c>
      <c r="D317" s="81" t="s">
        <v>208</v>
      </c>
      <c r="E317" s="81">
        <v>81</v>
      </c>
      <c r="G317" s="81" t="s">
        <v>25</v>
      </c>
      <c r="H317" s="81">
        <v>2400</v>
      </c>
      <c r="I317" s="81">
        <v>1050</v>
      </c>
      <c r="J317" s="81">
        <v>11</v>
      </c>
      <c r="K317" s="81">
        <v>12.76</v>
      </c>
    </row>
    <row r="318" spans="1:11" x14ac:dyDescent="0.25">
      <c r="A318" s="81">
        <v>1959</v>
      </c>
      <c r="B318" s="81">
        <v>722</v>
      </c>
      <c r="C318" s="81" t="s">
        <v>156</v>
      </c>
      <c r="D318" s="81" t="s">
        <v>208</v>
      </c>
      <c r="E318" s="81">
        <v>80</v>
      </c>
      <c r="G318" s="81" t="s">
        <v>53</v>
      </c>
      <c r="H318" s="81">
        <v>2400</v>
      </c>
      <c r="I318" s="81">
        <v>1050</v>
      </c>
      <c r="J318" s="81">
        <v>11</v>
      </c>
      <c r="K318" s="81">
        <v>9.01</v>
      </c>
    </row>
    <row r="319" spans="1:11" x14ac:dyDescent="0.25">
      <c r="A319" s="81">
        <v>1960</v>
      </c>
      <c r="B319" s="81">
        <v>741</v>
      </c>
      <c r="C319" s="81" t="s">
        <v>366</v>
      </c>
      <c r="D319" s="81" t="s">
        <v>265</v>
      </c>
      <c r="E319" s="81">
        <v>80.650000000000006</v>
      </c>
      <c r="F319" s="81">
        <v>79.099999999999994</v>
      </c>
      <c r="G319" s="81" t="s">
        <v>48</v>
      </c>
      <c r="H319" s="81">
        <v>1600</v>
      </c>
      <c r="K319" s="81">
        <v>15.18</v>
      </c>
    </row>
    <row r="320" spans="1:11" x14ac:dyDescent="0.25">
      <c r="A320" s="81">
        <v>1959</v>
      </c>
      <c r="B320" s="81">
        <v>744</v>
      </c>
      <c r="C320" s="81" t="s">
        <v>1648</v>
      </c>
      <c r="D320" s="81" t="s">
        <v>276</v>
      </c>
      <c r="E320" s="81">
        <v>37.04</v>
      </c>
      <c r="F320" s="81">
        <v>29.84</v>
      </c>
      <c r="G320" s="81" t="s">
        <v>48</v>
      </c>
      <c r="H320" s="81">
        <v>1500</v>
      </c>
      <c r="K320" s="81">
        <v>15.91</v>
      </c>
    </row>
    <row r="321" spans="1:11" x14ac:dyDescent="0.25">
      <c r="A321" s="81">
        <v>1960</v>
      </c>
      <c r="B321" s="81">
        <v>761</v>
      </c>
      <c r="C321" s="81" t="s">
        <v>285</v>
      </c>
      <c r="D321" s="81">
        <v>4010</v>
      </c>
      <c r="E321" s="81">
        <v>84</v>
      </c>
      <c r="F321" s="81">
        <v>75.39</v>
      </c>
      <c r="G321" s="81" t="s">
        <v>48</v>
      </c>
      <c r="H321" s="81">
        <v>2200</v>
      </c>
      <c r="I321" s="81">
        <v>967</v>
      </c>
      <c r="J321" s="81">
        <v>12</v>
      </c>
      <c r="K321" s="81">
        <v>14.97</v>
      </c>
    </row>
    <row r="322" spans="1:11" x14ac:dyDescent="0.25">
      <c r="A322" s="81">
        <v>1960</v>
      </c>
      <c r="B322" s="81">
        <v>763</v>
      </c>
      <c r="C322" s="81" t="s">
        <v>285</v>
      </c>
      <c r="D322" s="81">
        <v>3010</v>
      </c>
      <c r="E322" s="81">
        <v>55.09</v>
      </c>
      <c r="F322" s="81">
        <v>50.54</v>
      </c>
      <c r="G322" s="81" t="s">
        <v>25</v>
      </c>
      <c r="H322" s="81">
        <v>2200</v>
      </c>
      <c r="K322" s="81">
        <v>10.62</v>
      </c>
    </row>
    <row r="323" spans="1:11" x14ac:dyDescent="0.25">
      <c r="A323" s="81">
        <v>1961</v>
      </c>
      <c r="B323" s="81">
        <v>792</v>
      </c>
      <c r="C323" s="81" t="s">
        <v>1649</v>
      </c>
      <c r="D323" s="81" t="s">
        <v>267</v>
      </c>
      <c r="E323" s="81">
        <v>78.489999999999995</v>
      </c>
      <c r="F323" s="81">
        <v>67.09</v>
      </c>
      <c r="G323" s="81" t="s">
        <v>48</v>
      </c>
      <c r="H323" s="81">
        <v>1500</v>
      </c>
    </row>
    <row r="324" spans="1:11" x14ac:dyDescent="0.25">
      <c r="A324" s="81">
        <v>1963</v>
      </c>
      <c r="B324" s="81">
        <v>848</v>
      </c>
      <c r="C324" s="81" t="s">
        <v>285</v>
      </c>
      <c r="D324" s="81">
        <v>3020</v>
      </c>
      <c r="E324" s="81">
        <v>65.28</v>
      </c>
      <c r="F324" s="81">
        <v>59.25</v>
      </c>
      <c r="G324" s="81" t="s">
        <v>48</v>
      </c>
      <c r="H324" s="81">
        <v>2500</v>
      </c>
      <c r="K324" s="81">
        <v>13.85</v>
      </c>
    </row>
    <row r="325" spans="1:11" x14ac:dyDescent="0.25">
      <c r="A325" s="81">
        <v>1963</v>
      </c>
      <c r="B325" s="81">
        <v>849</v>
      </c>
      <c r="C325" s="81" t="s">
        <v>285</v>
      </c>
      <c r="D325" s="81">
        <v>4020</v>
      </c>
      <c r="E325" s="81">
        <v>91.17</v>
      </c>
      <c r="F325" s="81">
        <v>83.57</v>
      </c>
      <c r="G325" s="81" t="s">
        <v>48</v>
      </c>
      <c r="H325" s="81">
        <v>2100</v>
      </c>
      <c r="K325" s="81">
        <v>14.89</v>
      </c>
    </row>
    <row r="326" spans="1:11" x14ac:dyDescent="0.25">
      <c r="A326" s="81">
        <v>1964</v>
      </c>
      <c r="B326" s="81">
        <v>874</v>
      </c>
      <c r="C326" s="81" t="s">
        <v>1388</v>
      </c>
      <c r="D326" s="81" t="s">
        <v>268</v>
      </c>
      <c r="F326" s="81">
        <v>66.72</v>
      </c>
      <c r="G326" s="81" t="s">
        <v>25</v>
      </c>
      <c r="H326" s="81">
        <v>2200</v>
      </c>
      <c r="K326" s="81">
        <v>11.71</v>
      </c>
    </row>
    <row r="327" spans="1:11" x14ac:dyDescent="0.25">
      <c r="A327" s="81">
        <v>1966</v>
      </c>
      <c r="B327" s="81">
        <v>936</v>
      </c>
      <c r="C327" s="81" t="s">
        <v>285</v>
      </c>
      <c r="D327" s="81">
        <v>2020</v>
      </c>
      <c r="E327" s="81">
        <v>53.91</v>
      </c>
      <c r="F327" s="81">
        <v>48.32</v>
      </c>
      <c r="G327" s="81" t="s">
        <v>25</v>
      </c>
      <c r="H327" s="81">
        <v>2100</v>
      </c>
      <c r="I327" s="81">
        <v>978</v>
      </c>
      <c r="J327" s="81">
        <v>12</v>
      </c>
      <c r="K327" s="81">
        <v>11.89</v>
      </c>
    </row>
    <row r="328" spans="1:11" x14ac:dyDescent="0.25">
      <c r="A328" s="81">
        <v>1967</v>
      </c>
      <c r="B328" s="81">
        <v>964</v>
      </c>
      <c r="C328" s="81" t="s">
        <v>436</v>
      </c>
      <c r="D328" s="81" t="s">
        <v>275</v>
      </c>
      <c r="E328" s="81">
        <v>64.010000000000005</v>
      </c>
      <c r="F328" s="81">
        <v>63.9</v>
      </c>
      <c r="G328" s="81" t="s">
        <v>48</v>
      </c>
      <c r="H328" s="81">
        <v>2000</v>
      </c>
      <c r="I328" s="81">
        <v>1678</v>
      </c>
      <c r="J328" s="81">
        <v>9</v>
      </c>
      <c r="K328" s="81">
        <v>15.31</v>
      </c>
    </row>
    <row r="329" spans="1:11" x14ac:dyDescent="0.25">
      <c r="A329" s="81">
        <v>1967</v>
      </c>
      <c r="B329" s="81">
        <v>965</v>
      </c>
      <c r="C329" s="81" t="s">
        <v>436</v>
      </c>
      <c r="D329" s="81">
        <v>170</v>
      </c>
      <c r="E329" s="81">
        <v>54.04</v>
      </c>
      <c r="F329" s="81">
        <v>50.59</v>
      </c>
      <c r="G329" s="81" t="s">
        <v>48</v>
      </c>
      <c r="H329" s="81">
        <v>1800</v>
      </c>
      <c r="K329" s="81">
        <v>16.41</v>
      </c>
    </row>
    <row r="330" spans="1:11" x14ac:dyDescent="0.25">
      <c r="A330" s="81">
        <v>1969</v>
      </c>
      <c r="B330" s="81">
        <v>1005</v>
      </c>
      <c r="C330" s="81" t="s">
        <v>436</v>
      </c>
      <c r="D330" s="81" t="s">
        <v>275</v>
      </c>
      <c r="E330" s="81">
        <v>65.16</v>
      </c>
      <c r="F330" s="81">
        <v>64.62</v>
      </c>
      <c r="G330" s="81" t="s">
        <v>25</v>
      </c>
      <c r="H330" s="81">
        <v>2000</v>
      </c>
      <c r="I330" s="81">
        <v>1678</v>
      </c>
      <c r="J330" s="81">
        <v>9</v>
      </c>
      <c r="K330" s="81">
        <v>11.16</v>
      </c>
    </row>
    <row r="331" spans="1:11" x14ac:dyDescent="0.25">
      <c r="A331" s="81">
        <v>1972</v>
      </c>
      <c r="B331" s="81">
        <v>1099</v>
      </c>
      <c r="C331" s="81" t="s">
        <v>156</v>
      </c>
      <c r="D331" s="81" t="s">
        <v>500</v>
      </c>
      <c r="E331" s="81" t="s">
        <v>501</v>
      </c>
      <c r="G331" s="81" t="s">
        <v>48</v>
      </c>
      <c r="H331" s="81">
        <v>2200</v>
      </c>
      <c r="I331" s="81">
        <v>2200</v>
      </c>
      <c r="K331" s="81">
        <v>14.46</v>
      </c>
    </row>
    <row r="332" spans="1:11" x14ac:dyDescent="0.25">
      <c r="A332" s="81">
        <v>1983</v>
      </c>
      <c r="B332" s="81">
        <v>1487</v>
      </c>
      <c r="C332" s="81" t="s">
        <v>1323</v>
      </c>
      <c r="D332" s="81" t="s">
        <v>1202</v>
      </c>
      <c r="F332" s="81">
        <v>86.78</v>
      </c>
      <c r="G332" s="81" t="s">
        <v>48</v>
      </c>
      <c r="H332" s="81">
        <v>2200</v>
      </c>
      <c r="K332" s="81">
        <v>15.71</v>
      </c>
    </row>
    <row r="333" spans="1:11" x14ac:dyDescent="0.25">
      <c r="A333" s="81">
        <v>2013</v>
      </c>
      <c r="B333" s="81">
        <v>2074</v>
      </c>
      <c r="C333" s="81" t="s">
        <v>285</v>
      </c>
      <c r="D333" s="81" t="s">
        <v>266</v>
      </c>
      <c r="E333" s="81">
        <v>74.33</v>
      </c>
      <c r="F333" s="81">
        <v>72.88</v>
      </c>
      <c r="G333" s="81" t="s">
        <v>48</v>
      </c>
      <c r="H333" s="81">
        <v>2400</v>
      </c>
      <c r="K333" s="81">
        <v>14.88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17" r:id="rId3" name="Button 3">
              <controlPr defaultSize="0" print="0" autoFill="0" autoPict="0" macro="[0]!nebraskaAndStart">
                <anchor moveWithCells="1" sizeWithCells="1">
                  <from>
                    <xdr:col>14</xdr:col>
                    <xdr:colOff>228600</xdr:colOff>
                    <xdr:row>0</xdr:row>
                    <xdr:rowOff>38100</xdr:rowOff>
                  </from>
                  <to>
                    <xdr:col>17</xdr:col>
                    <xdr:colOff>314325</xdr:colOff>
                    <xdr:row>0</xdr:row>
                    <xdr:rowOff>266700</xdr:rowOff>
                  </to>
                </anchor>
              </controlPr>
            </control>
          </mc:Choice>
        </mc:AlternateContent>
        <mc:AlternateContent xmlns:mc="http://schemas.openxmlformats.org/markup-compatibility/2006">
          <mc:Choice Requires="x14">
            <control shapeId="60418" r:id="rId4" name="Button 2">
              <controlPr defaultSize="0" print="0" autoFill="0" autoPict="0" macro="[0]!nebraskaInfo">
                <anchor moveWithCells="1" sizeWithCells="1">
                  <from>
                    <xdr:col>11</xdr:col>
                    <xdr:colOff>209550</xdr:colOff>
                    <xdr:row>0</xdr:row>
                    <xdr:rowOff>38100</xdr:rowOff>
                  </from>
                  <to>
                    <xdr:col>13</xdr:col>
                    <xdr:colOff>400050</xdr:colOff>
                    <xdr:row>0</xdr:row>
                    <xdr:rowOff>266700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1" tint="0.499984740745262"/>
    <pageSetUpPr autoPageBreaks="0"/>
  </sheetPr>
  <dimension ref="A1:F2"/>
  <sheetViews>
    <sheetView workbookViewId="0">
      <selection activeCell="A3" sqref="A3"/>
    </sheetView>
  </sheetViews>
  <sheetFormatPr defaultColWidth="8.85546875" defaultRowHeight="15" x14ac:dyDescent="0.25"/>
  <cols>
    <col min="1" max="1" width="17.7109375" style="12" bestFit="1" customWidth="1"/>
    <col min="2" max="2" width="15.140625" style="12" bestFit="1" customWidth="1"/>
    <col min="3" max="3" width="11.85546875" style="12" bestFit="1" customWidth="1"/>
    <col min="4" max="4" width="14" style="12" bestFit="1" customWidth="1"/>
    <col min="5" max="5" width="12" style="12" bestFit="1" customWidth="1"/>
    <col min="6" max="6" width="10.85546875" style="12" bestFit="1" customWidth="1"/>
    <col min="7" max="16384" width="8.85546875" style="12"/>
  </cols>
  <sheetData>
    <row r="1" spans="1:6" s="11" customFormat="1" x14ac:dyDescent="0.25">
      <c r="A1" s="17" t="s">
        <v>214</v>
      </c>
      <c r="B1" s="17" t="s">
        <v>215</v>
      </c>
      <c r="C1" s="17" t="s">
        <v>216</v>
      </c>
      <c r="D1" s="17" t="s">
        <v>217</v>
      </c>
      <c r="E1" s="17" t="s">
        <v>218</v>
      </c>
      <c r="F1" s="17" t="s">
        <v>23</v>
      </c>
    </row>
    <row r="2" spans="1:6" x14ac:dyDescent="0.25">
      <c r="A2" s="14">
        <v>52.77</v>
      </c>
      <c r="B2" s="14">
        <v>15</v>
      </c>
      <c r="C2" s="14">
        <v>128</v>
      </c>
      <c r="D2" s="18">
        <f>B2/60</f>
        <v>0.25</v>
      </c>
      <c r="E2" s="18">
        <f>C2/128</f>
        <v>1</v>
      </c>
      <c r="F2" s="18">
        <f>(A2*D2)/E2</f>
        <v>13.192500000000001</v>
      </c>
    </row>
  </sheetData>
  <customSheetViews>
    <customSheetView guid="{A5B2F500-5FB1-4588-8EBF-246FB800D862}">
      <pageMargins left="0" right="0" top="0" bottom="0" header="0" footer="0"/>
    </customSheetView>
  </customSheetViews>
  <pageMargins left="0" right="0" top="0" bottom="0" header="0" footer="0"/>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5689B83-3F20-4E23-93EC-186A04432CA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Calculations</vt:lpstr>
      <vt:lpstr>Setup</vt:lpstr>
      <vt:lpstr>Database</vt:lpstr>
      <vt:lpstr>Nebraska Test Database</vt:lpstr>
      <vt:lpstr>HP-Hrs Gal</vt:lpstr>
      <vt:lpstr>Export Chart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KTC Library Patron</dc:creator>
  <cp:keywords/>
  <dc:description/>
  <cp:lastModifiedBy>Daniel Meyer</cp:lastModifiedBy>
  <cp:revision/>
  <cp:lastPrinted>2021-10-22T00:42:10Z</cp:lastPrinted>
  <dcterms:created xsi:type="dcterms:W3CDTF">2015-10-21T15:56:07Z</dcterms:created>
  <dcterms:modified xsi:type="dcterms:W3CDTF">2021-10-22T01:44:51Z</dcterms:modified>
  <cp:category/>
  <cp:contentStatus/>
</cp:coreProperties>
</file>